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https://vejvidaejuventude.sharepoint.com/sites/monitoramento.ppcaam/Documentos Compartilhados/General/Planilha Amarela/"/>
    </mc:Choice>
  </mc:AlternateContent>
  <xr:revisionPtr revIDLastSave="1154" documentId="11_0480B6D16CB89837C122C15407CF64625654FCA1" xr6:coauthVersionLast="47" xr6:coauthVersionMax="47" xr10:uidLastSave="{8C399622-71CE-4545-A548-84BD074207A8}"/>
  <bookViews>
    <workbookView xWindow="-93" yWindow="-93" windowWidth="25786" windowHeight="15466" xr2:uid="{00000000-000D-0000-FFFF-FFFF00000000}"/>
  </bookViews>
  <sheets>
    <sheet name="Modelo 2025" sheetId="1" r:id="rId1"/>
  </sheets>
  <definedNames>
    <definedName name="_xlnm.Print_Area" localSheetId="0">'Modelo 2025'!$A$1:$O$306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01" i="1" l="1"/>
  <c r="O302" i="1"/>
  <c r="C303" i="1"/>
  <c r="C304" i="1" s="1"/>
  <c r="D303" i="1"/>
  <c r="D304" i="1" s="1"/>
  <c r="E303" i="1"/>
  <c r="F303" i="1"/>
  <c r="G303" i="1"/>
  <c r="G304" i="1" s="1"/>
  <c r="H303" i="1"/>
  <c r="H304" i="1" s="1"/>
  <c r="I303" i="1"/>
  <c r="J303" i="1"/>
  <c r="K303" i="1"/>
  <c r="L303" i="1"/>
  <c r="M303" i="1"/>
  <c r="N303" i="1"/>
  <c r="E304" i="1"/>
  <c r="F304" i="1"/>
  <c r="I304" i="1"/>
  <c r="J304" i="1"/>
  <c r="K304" i="1"/>
  <c r="L304" i="1"/>
  <c r="M304" i="1"/>
  <c r="N304" i="1"/>
  <c r="O268" i="1"/>
  <c r="O269" i="1"/>
  <c r="O270" i="1"/>
  <c r="O271" i="1"/>
  <c r="O272" i="1"/>
  <c r="C273" i="1"/>
  <c r="O273" i="1" s="1"/>
  <c r="D273" i="1"/>
  <c r="E273" i="1"/>
  <c r="E274" i="1" s="1"/>
  <c r="F273" i="1"/>
  <c r="G273" i="1"/>
  <c r="H273" i="1"/>
  <c r="I273" i="1"/>
  <c r="I274" i="1" s="1"/>
  <c r="J273" i="1"/>
  <c r="K273" i="1"/>
  <c r="K274" i="1" s="1"/>
  <c r="L273" i="1"/>
  <c r="M273" i="1"/>
  <c r="M274" i="1" s="1"/>
  <c r="N273" i="1"/>
  <c r="D274" i="1"/>
  <c r="F274" i="1"/>
  <c r="G274" i="1"/>
  <c r="H274" i="1"/>
  <c r="J274" i="1"/>
  <c r="L274" i="1"/>
  <c r="N274" i="1"/>
  <c r="O278" i="1"/>
  <c r="O286" i="1" s="1"/>
  <c r="O279" i="1"/>
  <c r="O280" i="1"/>
  <c r="O281" i="1"/>
  <c r="O282" i="1"/>
  <c r="O283" i="1"/>
  <c r="O284" i="1"/>
  <c r="C286" i="1"/>
  <c r="D286" i="1"/>
  <c r="E286" i="1"/>
  <c r="F286" i="1"/>
  <c r="G286" i="1"/>
  <c r="H286" i="1"/>
  <c r="I286" i="1"/>
  <c r="J286" i="1"/>
  <c r="K286" i="1"/>
  <c r="L286" i="1"/>
  <c r="M286" i="1"/>
  <c r="N286" i="1"/>
  <c r="O303" i="1" l="1"/>
  <c r="O304" i="1" s="1"/>
  <c r="O274" i="1"/>
  <c r="C274" i="1"/>
  <c r="O262" i="1" l="1"/>
  <c r="O261" i="1"/>
  <c r="O260" i="1"/>
  <c r="O259" i="1"/>
  <c r="O153" i="1"/>
  <c r="O44" i="1"/>
  <c r="O43" i="1"/>
  <c r="O42" i="1"/>
  <c r="O41" i="1"/>
  <c r="O40" i="1"/>
  <c r="N296" i="1"/>
  <c r="M296" i="1"/>
  <c r="L296" i="1"/>
  <c r="K296" i="1"/>
  <c r="J296" i="1"/>
  <c r="I296" i="1"/>
  <c r="H296" i="1"/>
  <c r="G296" i="1"/>
  <c r="F296" i="1"/>
  <c r="E296" i="1"/>
  <c r="D296" i="1"/>
  <c r="C296" i="1"/>
  <c r="O32" i="1"/>
  <c r="N95" i="1"/>
  <c r="M95" i="1"/>
  <c r="L95" i="1"/>
  <c r="K95" i="1"/>
  <c r="J95" i="1"/>
  <c r="I95" i="1"/>
  <c r="H95" i="1"/>
  <c r="G95" i="1"/>
  <c r="F95" i="1"/>
  <c r="E95" i="1"/>
  <c r="D95" i="1"/>
  <c r="C95" i="1"/>
  <c r="N73" i="1"/>
  <c r="M73" i="1"/>
  <c r="L73" i="1"/>
  <c r="K73" i="1"/>
  <c r="J73" i="1"/>
  <c r="I73" i="1"/>
  <c r="H73" i="1"/>
  <c r="G73" i="1"/>
  <c r="F73" i="1"/>
  <c r="E73" i="1"/>
  <c r="D73" i="1"/>
  <c r="C73" i="1"/>
  <c r="O35" i="1"/>
  <c r="N155" i="1"/>
  <c r="M155" i="1"/>
  <c r="L155" i="1"/>
  <c r="K155" i="1"/>
  <c r="J155" i="1"/>
  <c r="I155" i="1"/>
  <c r="H155" i="1"/>
  <c r="G155" i="1"/>
  <c r="F155" i="1"/>
  <c r="E155" i="1"/>
  <c r="D155" i="1"/>
  <c r="C155" i="1"/>
  <c r="O94" i="1"/>
  <c r="O79" i="1"/>
  <c r="O80" i="1"/>
  <c r="O81" i="1"/>
  <c r="O82" i="1"/>
  <c r="O83" i="1"/>
  <c r="O84" i="1"/>
  <c r="O72" i="1"/>
  <c r="O61" i="1"/>
  <c r="O294" i="1"/>
  <c r="O244" i="1"/>
  <c r="O237" i="1" l="1"/>
  <c r="O222" i="1"/>
  <c r="O223" i="1"/>
  <c r="N207" i="1"/>
  <c r="M207" i="1"/>
  <c r="L207" i="1"/>
  <c r="K207" i="1"/>
  <c r="J207" i="1"/>
  <c r="I207" i="1"/>
  <c r="H207" i="1"/>
  <c r="G207" i="1"/>
  <c r="F207" i="1"/>
  <c r="E207" i="1"/>
  <c r="D207" i="1"/>
  <c r="C207" i="1"/>
  <c r="N196" i="1"/>
  <c r="M196" i="1"/>
  <c r="L196" i="1"/>
  <c r="K196" i="1"/>
  <c r="J196" i="1"/>
  <c r="I196" i="1"/>
  <c r="H196" i="1"/>
  <c r="G196" i="1"/>
  <c r="F196" i="1"/>
  <c r="E196" i="1"/>
  <c r="D196" i="1"/>
  <c r="C196" i="1"/>
  <c r="O206" i="1"/>
  <c r="O205" i="1"/>
  <c r="O204" i="1"/>
  <c r="O203" i="1"/>
  <c r="O202" i="1"/>
  <c r="O201" i="1"/>
  <c r="O195" i="1"/>
  <c r="O194" i="1"/>
  <c r="N184" i="1"/>
  <c r="M184" i="1"/>
  <c r="L184" i="1"/>
  <c r="K184" i="1"/>
  <c r="J184" i="1"/>
  <c r="I184" i="1"/>
  <c r="H184" i="1"/>
  <c r="G184" i="1"/>
  <c r="F184" i="1"/>
  <c r="E184" i="1"/>
  <c r="D184" i="1"/>
  <c r="C184" i="1"/>
  <c r="O183" i="1"/>
  <c r="O182" i="1"/>
  <c r="O181" i="1"/>
  <c r="O180" i="1"/>
  <c r="O179" i="1"/>
  <c r="O178" i="1"/>
  <c r="O177" i="1"/>
  <c r="O176" i="1"/>
  <c r="O217" i="1"/>
  <c r="O218" i="1"/>
  <c r="O219" i="1"/>
  <c r="O220" i="1"/>
  <c r="O221" i="1"/>
  <c r="O224" i="1"/>
  <c r="O225" i="1"/>
  <c r="C226" i="1"/>
  <c r="D226" i="1"/>
  <c r="E226" i="1"/>
  <c r="F226" i="1"/>
  <c r="G226" i="1"/>
  <c r="H226" i="1"/>
  <c r="I226" i="1"/>
  <c r="J226" i="1"/>
  <c r="K226" i="1"/>
  <c r="L226" i="1"/>
  <c r="M226" i="1"/>
  <c r="N226" i="1"/>
  <c r="O230" i="1"/>
  <c r="O231" i="1"/>
  <c r="O232" i="1"/>
  <c r="O233" i="1"/>
  <c r="O118" i="1"/>
  <c r="O207" i="1" l="1"/>
  <c r="O196" i="1"/>
  <c r="O184" i="1"/>
  <c r="O226" i="1"/>
  <c r="O60" i="1"/>
  <c r="O119" i="1"/>
  <c r="N85" i="1" l="1"/>
  <c r="M85" i="1"/>
  <c r="L85" i="1"/>
  <c r="K85" i="1"/>
  <c r="J85" i="1"/>
  <c r="I85" i="1"/>
  <c r="H85" i="1"/>
  <c r="G85" i="1"/>
  <c r="F85" i="1"/>
  <c r="E85" i="1"/>
  <c r="D85" i="1"/>
  <c r="C85" i="1"/>
  <c r="N37" i="1"/>
  <c r="M37" i="1"/>
  <c r="L37" i="1"/>
  <c r="K37" i="1"/>
  <c r="J37" i="1"/>
  <c r="I37" i="1"/>
  <c r="H37" i="1"/>
  <c r="G37" i="1"/>
  <c r="F37" i="1"/>
  <c r="E37" i="1"/>
  <c r="D37" i="1"/>
  <c r="C37" i="1"/>
  <c r="C20" i="1"/>
  <c r="D20" i="1" s="1"/>
  <c r="E20" i="1" s="1"/>
  <c r="F20" i="1" s="1"/>
  <c r="G20" i="1" s="1"/>
  <c r="H20" i="1" s="1"/>
  <c r="I20" i="1" s="1"/>
  <c r="J20" i="1" s="1"/>
  <c r="K20" i="1" s="1"/>
  <c r="L20" i="1" s="1"/>
  <c r="M20" i="1" s="1"/>
  <c r="N20" i="1" s="1"/>
  <c r="O78" i="1"/>
  <c r="O77" i="1"/>
  <c r="O85" i="1" l="1"/>
  <c r="O71" i="1"/>
  <c r="K112" i="1" l="1"/>
  <c r="E121" i="1"/>
  <c r="F121" i="1"/>
  <c r="G121" i="1"/>
  <c r="H121" i="1"/>
  <c r="I121" i="1"/>
  <c r="J121" i="1"/>
  <c r="K121" i="1"/>
  <c r="L121" i="1"/>
  <c r="M121" i="1"/>
  <c r="N121" i="1"/>
  <c r="D121" i="1"/>
  <c r="C121" i="1"/>
  <c r="O291" i="1"/>
  <c r="O292" i="1"/>
  <c r="O293" i="1"/>
  <c r="O295" i="1"/>
  <c r="O290" i="1"/>
  <c r="O250" i="1"/>
  <c r="O251" i="1"/>
  <c r="O252" i="1"/>
  <c r="O253" i="1"/>
  <c r="O34" i="1"/>
  <c r="O36" i="1"/>
  <c r="D172" i="1"/>
  <c r="E172" i="1"/>
  <c r="F172" i="1"/>
  <c r="G172" i="1"/>
  <c r="H172" i="1"/>
  <c r="I172" i="1"/>
  <c r="J172" i="1"/>
  <c r="K172" i="1"/>
  <c r="L172" i="1"/>
  <c r="M172" i="1"/>
  <c r="N172" i="1"/>
  <c r="C172" i="1"/>
  <c r="O116" i="1"/>
  <c r="O117" i="1"/>
  <c r="O120" i="1"/>
  <c r="O99" i="1"/>
  <c r="O100" i="1"/>
  <c r="O101" i="1"/>
  <c r="O102" i="1"/>
  <c r="O103" i="1"/>
  <c r="O104" i="1"/>
  <c r="O105" i="1"/>
  <c r="O106" i="1"/>
  <c r="O107" i="1"/>
  <c r="O108" i="1"/>
  <c r="O109" i="1"/>
  <c r="O110" i="1"/>
  <c r="O111" i="1"/>
  <c r="O67" i="1"/>
  <c r="O68" i="1"/>
  <c r="O69" i="1"/>
  <c r="O70" i="1"/>
  <c r="O21" i="1"/>
  <c r="O245" i="1"/>
  <c r="O243" i="1"/>
  <c r="O152" i="1"/>
  <c r="O154" i="1"/>
  <c r="O151" i="1"/>
  <c r="O90" i="1"/>
  <c r="O91" i="1"/>
  <c r="O92" i="1"/>
  <c r="O93" i="1"/>
  <c r="O89" i="1"/>
  <c r="O234" i="1"/>
  <c r="O235" i="1"/>
  <c r="O236" i="1"/>
  <c r="O238" i="1"/>
  <c r="O160" i="1"/>
  <c r="O161" i="1"/>
  <c r="O162" i="1"/>
  <c r="O163" i="1"/>
  <c r="O164" i="1"/>
  <c r="O165" i="1"/>
  <c r="O166" i="1"/>
  <c r="O167" i="1"/>
  <c r="O168" i="1"/>
  <c r="O169" i="1"/>
  <c r="O159" i="1"/>
  <c r="O136" i="1"/>
  <c r="O139" i="1"/>
  <c r="O138" i="1"/>
  <c r="O137" i="1"/>
  <c r="O135" i="1"/>
  <c r="O134" i="1"/>
  <c r="O133" i="1"/>
  <c r="O132" i="1"/>
  <c r="O131" i="1"/>
  <c r="O130" i="1"/>
  <c r="O129" i="1"/>
  <c r="O128" i="1"/>
  <c r="O127" i="1"/>
  <c r="O126" i="1"/>
  <c r="O125" i="1"/>
  <c r="O59" i="1"/>
  <c r="O58" i="1"/>
  <c r="O57" i="1"/>
  <c r="O56" i="1"/>
  <c r="O55" i="1"/>
  <c r="O49" i="1"/>
  <c r="O50" i="1"/>
  <c r="O48" i="1"/>
  <c r="O47" i="1"/>
  <c r="O27" i="1"/>
  <c r="O26" i="1"/>
  <c r="O25" i="1"/>
  <c r="O31" i="1"/>
  <c r="C21" i="1"/>
  <c r="D21" i="1" s="1"/>
  <c r="K54" i="1"/>
  <c r="K62" i="1" s="1"/>
  <c r="C54" i="1"/>
  <c r="C62" i="1" s="1"/>
  <c r="D54" i="1"/>
  <c r="D62" i="1" s="1"/>
  <c r="E54" i="1"/>
  <c r="E62" i="1" s="1"/>
  <c r="F54" i="1"/>
  <c r="F62" i="1" s="1"/>
  <c r="G54" i="1"/>
  <c r="G62" i="1" s="1"/>
  <c r="H54" i="1"/>
  <c r="H62" i="1" s="1"/>
  <c r="I54" i="1"/>
  <c r="I62" i="1" s="1"/>
  <c r="J54" i="1"/>
  <c r="J62" i="1" s="1"/>
  <c r="L54" i="1"/>
  <c r="L62" i="1" s="1"/>
  <c r="M54" i="1"/>
  <c r="M62" i="1" s="1"/>
  <c r="N54" i="1"/>
  <c r="N62" i="1" s="1"/>
  <c r="D254" i="1"/>
  <c r="C140" i="1"/>
  <c r="D239" i="1"/>
  <c r="E239" i="1"/>
  <c r="F239" i="1"/>
  <c r="G239" i="1"/>
  <c r="H239" i="1"/>
  <c r="I239" i="1"/>
  <c r="J239" i="1"/>
  <c r="K239" i="1"/>
  <c r="L239" i="1"/>
  <c r="M239" i="1"/>
  <c r="N239" i="1"/>
  <c r="C239" i="1"/>
  <c r="E254" i="1"/>
  <c r="F254" i="1"/>
  <c r="G254" i="1"/>
  <c r="H254" i="1"/>
  <c r="I254" i="1"/>
  <c r="J254" i="1"/>
  <c r="K254" i="1"/>
  <c r="L254" i="1"/>
  <c r="M254" i="1"/>
  <c r="N254" i="1"/>
  <c r="C254" i="1"/>
  <c r="D246" i="1"/>
  <c r="E246" i="1"/>
  <c r="F246" i="1"/>
  <c r="G246" i="1"/>
  <c r="H246" i="1"/>
  <c r="I246" i="1"/>
  <c r="J246" i="1"/>
  <c r="K246" i="1"/>
  <c r="L246" i="1"/>
  <c r="M246" i="1"/>
  <c r="N246" i="1"/>
  <c r="C246" i="1"/>
  <c r="D140" i="1"/>
  <c r="E140" i="1"/>
  <c r="F140" i="1"/>
  <c r="G140" i="1"/>
  <c r="H140" i="1"/>
  <c r="I140" i="1"/>
  <c r="J140" i="1"/>
  <c r="K140" i="1"/>
  <c r="L140" i="1"/>
  <c r="M140" i="1"/>
  <c r="N140" i="1"/>
  <c r="D112" i="1"/>
  <c r="E112" i="1"/>
  <c r="F112" i="1"/>
  <c r="G112" i="1"/>
  <c r="H112" i="1"/>
  <c r="I112" i="1"/>
  <c r="J112" i="1"/>
  <c r="L112" i="1"/>
  <c r="M112" i="1"/>
  <c r="N112" i="1"/>
  <c r="D51" i="1"/>
  <c r="E51" i="1"/>
  <c r="F51" i="1"/>
  <c r="G51" i="1"/>
  <c r="H51" i="1"/>
  <c r="I51" i="1"/>
  <c r="J51" i="1"/>
  <c r="K51" i="1"/>
  <c r="L51" i="1"/>
  <c r="M51" i="1"/>
  <c r="N51" i="1"/>
  <c r="C51" i="1"/>
  <c r="B22" i="1"/>
  <c r="C28" i="1"/>
  <c r="E28" i="1"/>
  <c r="D28" i="1"/>
  <c r="F28" i="1"/>
  <c r="H28" i="1"/>
  <c r="J28" i="1"/>
  <c r="L28" i="1"/>
  <c r="N28" i="1"/>
  <c r="M28" i="1"/>
  <c r="G28" i="1"/>
  <c r="K28" i="1"/>
  <c r="I28" i="1"/>
  <c r="C112" i="1"/>
  <c r="O155" i="1" l="1"/>
  <c r="O62" i="1"/>
  <c r="O28" i="1"/>
  <c r="O37" i="1"/>
  <c r="O20" i="1"/>
  <c r="O95" i="1"/>
  <c r="O172" i="1"/>
  <c r="O73" i="1"/>
  <c r="C297" i="1"/>
  <c r="O246" i="1"/>
  <c r="O140" i="1"/>
  <c r="N297" i="1"/>
  <c r="L297" i="1"/>
  <c r="J297" i="1"/>
  <c r="H297" i="1"/>
  <c r="F297" i="1"/>
  <c r="D297" i="1"/>
  <c r="O254" i="1"/>
  <c r="O239" i="1"/>
  <c r="O121" i="1"/>
  <c r="O112" i="1"/>
  <c r="E21" i="1"/>
  <c r="F21" i="1" s="1"/>
  <c r="G21" i="1" s="1"/>
  <c r="H21" i="1" s="1"/>
  <c r="I21" i="1" s="1"/>
  <c r="J21" i="1" s="1"/>
  <c r="K21" i="1" s="1"/>
  <c r="L21" i="1" s="1"/>
  <c r="M21" i="1" s="1"/>
  <c r="N21" i="1" s="1"/>
  <c r="D22" i="1"/>
  <c r="C22" i="1"/>
  <c r="O51" i="1"/>
  <c r="G297" i="1" l="1"/>
  <c r="K297" i="1"/>
  <c r="E297" i="1"/>
  <c r="I297" i="1"/>
  <c r="O296" i="1"/>
  <c r="O297" i="1" s="1"/>
  <c r="M297" i="1"/>
  <c r="E22" i="1"/>
  <c r="F22" i="1"/>
  <c r="G22" i="1" l="1"/>
  <c r="H22" i="1" l="1"/>
  <c r="I22" i="1" l="1"/>
  <c r="J22" i="1" l="1"/>
  <c r="K22" i="1" l="1"/>
  <c r="L22" i="1" l="1"/>
  <c r="M22" i="1" l="1"/>
  <c r="N22" i="1" l="1"/>
  <c r="O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heloiza.egas</author>
    <author>MARIA ELIZA SANTOS LOPES</author>
    <author>Projeto Legal</author>
    <author>Valued Acer Customer</author>
    <author>Laura G. Lima</author>
    <author>Hima</author>
    <author>usuario</author>
    <author>ML</author>
  </authors>
  <commentList>
    <comment ref="B19" authorId="0" shapeId="0" xr:uid="{00000000-0006-0000-0000-000001000000}">
      <text>
        <r>
          <rPr>
            <b/>
            <sz val="10"/>
            <color indexed="81"/>
            <rFont val="Tahoma"/>
            <family val="2"/>
          </rPr>
          <t>Aqui deve ser lançada a informação do número de pessoas que terminaram 2024 protegidas, iniciando 2025 no Programa.</t>
        </r>
      </text>
    </comment>
    <comment ref="A27" authorId="0" shapeId="0" xr:uid="{00000000-0006-0000-0000-000002000000}">
      <text>
        <r>
          <rPr>
            <b/>
            <sz val="10"/>
            <color indexed="81"/>
            <rFont val="Tahoma"/>
            <family val="2"/>
          </rPr>
          <t>Um caso de transferência encaminhado para outro estado conta como um desligamento, devendo os dados referentes ao protegido serem retirados da planilha, incluindo os familiares (que devem ser indicados na linha 26).</t>
        </r>
      </text>
    </comment>
    <comment ref="B30" authorId="0" shapeId="0" xr:uid="{00000000-0006-0000-0000-000003000000}">
      <text>
        <r>
          <rPr>
            <b/>
            <sz val="10"/>
            <color indexed="81"/>
            <rFont val="Tahoma"/>
            <family val="2"/>
          </rPr>
          <t>Preenchimento somente para informações relativas aos CASOS em ANÁLISE</t>
        </r>
      </text>
    </comment>
    <comment ref="A33" authorId="1" shapeId="0" xr:uid="{00000000-0006-0000-0000-000004000000}">
      <text>
        <r>
          <rPr>
            <b/>
            <sz val="10"/>
            <color indexed="81"/>
            <rFont val="Tahoma"/>
            <family val="2"/>
          </rPr>
          <t>São os casos de cada mês que, solicitados, ficam pendentes de avaliação esperando um desfecho no mês seguinte (considerados os prazos dispostos nas "Normas Procedimentais PPCAAM").
Os casos que ficaram pendentes em dezembro do ano anterior devem ser indicados na coluna "2024".</t>
        </r>
      </text>
    </comment>
    <comment ref="A36" authorId="0" shapeId="0" xr:uid="{00000000-0006-0000-0000-000005000000}">
      <text>
        <r>
          <rPr>
            <b/>
            <sz val="10"/>
            <color indexed="81"/>
            <rFont val="Tahoma"/>
            <family val="2"/>
          </rPr>
          <t>O número de transferências recebidas é computado como uma inclusão no Programa de destino (favor computar os familiares incluídos via transferência na linha 34).</t>
        </r>
      </text>
    </comment>
    <comment ref="A51" authorId="2" shapeId="0" xr:uid="{00000000-0006-0000-0000-000006000000}">
      <text>
        <r>
          <rPr>
            <b/>
            <sz val="10"/>
            <color indexed="81"/>
            <rFont val="Tahoma"/>
            <family val="2"/>
          </rPr>
          <t>Se a soma das solicitações por porta de entrada não for igual ao número de solicitações, aparece "ERRO!".</t>
        </r>
      </text>
    </comment>
    <comment ref="A54" authorId="3" shapeId="0" xr:uid="{00000000-0006-0000-0000-000007000000}">
      <text>
        <r>
          <rPr>
            <b/>
            <sz val="10"/>
            <color indexed="81"/>
            <rFont val="Tahoma"/>
            <family val="2"/>
          </rPr>
          <t>Não preencher esta linha. Os casos solicitados no mês mas com a avaliação não concluída no mesmo mês. Deve ser igual ao dado da linha 32.</t>
        </r>
      </text>
    </comment>
    <comment ref="A55" authorId="4" shapeId="0" xr:uid="{37D87A1E-329D-4757-A10A-9048B44136F3}">
      <text>
        <r>
          <rPr>
            <sz val="9"/>
            <color indexed="81"/>
            <rFont val="Segoe UI"/>
            <charset val="1"/>
          </rPr>
          <t xml:space="preserve">Quando o próprio adolescente, ao ouvir a explicação das regras do Programa, não apresenta interesse em ingressar.
</t>
        </r>
      </text>
    </comment>
    <comment ref="A56" authorId="4" shapeId="0" xr:uid="{2CABA38F-253E-452F-8905-ABE24742C1F3}">
      <text>
        <r>
          <rPr>
            <sz val="9"/>
            <color indexed="81"/>
            <rFont val="Segoe UI"/>
            <family val="2"/>
          </rPr>
          <t xml:space="preserve">Os profissionais podem vir a perceber, durante o processo avaliativo, que não há uma ameça de morte, existindo outras formas de resolução mais adequadas, ou que se trata de caso de vulnerabilidade social. </t>
        </r>
      </text>
    </comment>
    <comment ref="A57" authorId="4" shapeId="0" xr:uid="{EDE5C207-DCDC-445A-B2A9-D9B05FF913DA}">
      <text>
        <r>
          <rPr>
            <sz val="9"/>
            <color indexed="81"/>
            <rFont val="Segoe UI"/>
            <family val="2"/>
          </rPr>
          <t>O adolescente não compareceu à entrevista ou evadiu o Acolhimento.</t>
        </r>
      </text>
    </comment>
    <comment ref="A58" authorId="4" shapeId="0" xr:uid="{0DADEA73-A5FD-4F6C-AC65-DAAFF77D3FA9}">
      <text>
        <r>
          <rPr>
            <sz val="9"/>
            <color indexed="81"/>
            <rFont val="Segoe UI"/>
            <family val="2"/>
          </rPr>
          <t xml:space="preserve">Infere-se que a situação pode vir a ser solucionada pela articulação da rede de retaguarda ou pela busca de alternativas no próprio meio familiar.
</t>
        </r>
      </text>
    </comment>
    <comment ref="A59" authorId="4" shapeId="0" xr:uid="{E219E07C-4891-4148-9B74-DCAFB0A34883}">
      <text>
        <r>
          <rPr>
            <sz val="9"/>
            <color indexed="81"/>
            <rFont val="Segoe UI"/>
            <family val="2"/>
          </rPr>
          <t>Adolescentes em cumprimento de medida socioeducativa com restrições de liberdade não podem ser incluídos no Programa por se tratar de medidas incompatíveis com a ação protetiva.</t>
        </r>
      </text>
    </comment>
    <comment ref="A60" authorId="4" shapeId="0" xr:uid="{9512277D-BECB-483E-BF85-6090800734E5}">
      <text>
        <r>
          <rPr>
            <sz val="9"/>
            <color indexed="81"/>
            <rFont val="Segoe UI"/>
            <family val="2"/>
          </rPr>
          <t xml:space="preserve">Ocorre quando uma das Portas de Entrada solicita a inclusão, entretanto não responde aos ofícios do Programa e nem promove os encaminhamentos necessários. </t>
        </r>
      </text>
    </comment>
    <comment ref="A61" authorId="5" shapeId="0" xr:uid="{63B6E766-6B86-435A-9A05-D3E0D511B832}">
      <text>
        <r>
          <rPr>
            <sz val="10"/>
            <rFont val="Arial"/>
          </rPr>
          <t>Ocorre quando o processo de inclusão no PPCAAM é encerrado em razão do falecimento da pessoa ameaçada.</t>
        </r>
      </text>
    </comment>
    <comment ref="A62" authorId="2" shapeId="0" xr:uid="{00000000-0006-0000-0000-000009000000}">
      <text>
        <r>
          <rPr>
            <b/>
            <sz val="10"/>
            <color indexed="81"/>
            <rFont val="Tahoma"/>
            <family val="2"/>
          </rPr>
          <t>Se os não incluídos mais os incluídos não for igual às solicitações mais os casos em avaliação no mês anterior que foram resolvidos, aparece "ERRO!"</t>
        </r>
      </text>
    </comment>
    <comment ref="A64" authorId="6" shapeId="0" xr:uid="{00000000-0006-0000-0000-00000A000000}">
      <text>
        <r>
          <rPr>
            <b/>
            <sz val="9"/>
            <color indexed="81"/>
            <rFont val="Tahoma"/>
            <family val="2"/>
          </rPr>
          <t>usuario:</t>
        </r>
        <r>
          <rPr>
            <sz val="9"/>
            <color indexed="81"/>
            <rFont val="Tahoma"/>
            <family val="2"/>
          </rPr>
          <t xml:space="preserve">
Nomenclatura desse campo foi pactuada com a Coordenação de Promoção dos Direitos LGBT.</t>
        </r>
      </text>
    </comment>
    <comment ref="B66" authorId="0" shapeId="0" xr:uid="{00000000-0006-0000-0000-00000B000000}">
      <text>
        <r>
          <rPr>
            <b/>
            <sz val="10"/>
            <color indexed="81"/>
            <rFont val="Tahoma"/>
            <family val="2"/>
          </rPr>
          <t>Aqui deve ser lançada a informação do número de pessoas que terminaram 2024 protegidas, iniciando 2025 no Programa.</t>
        </r>
      </text>
    </comment>
    <comment ref="A67" authorId="4" shapeId="0" xr:uid="{D8429ABE-0BE9-45A3-BA73-113E4573AB6D}">
      <text>
        <r>
          <rPr>
            <sz val="9"/>
            <color indexed="81"/>
            <rFont val="Segoe UI"/>
            <family val="2"/>
          </rPr>
          <t xml:space="preserve">Pessoa que foi designada como mulher ao nascer e se identifica com o gênero feminino. </t>
        </r>
      </text>
    </comment>
    <comment ref="A68" authorId="4" shapeId="0" xr:uid="{6E1B53AA-B662-4FB5-8F47-E606FD05A93B}">
      <text>
        <r>
          <rPr>
            <sz val="9"/>
            <color indexed="81"/>
            <rFont val="Segoe UI"/>
            <family val="2"/>
          </rPr>
          <t>Pessoa que foi designada como homem ao nascer e se identifia com o gênero masculino.</t>
        </r>
      </text>
    </comment>
    <comment ref="A69" authorId="4" shapeId="0" xr:uid="{E7ED0EEB-9375-4FC6-B9F4-054E80812F48}">
      <text>
        <r>
          <rPr>
            <sz val="9"/>
            <color indexed="81"/>
            <rFont val="Segoe UI"/>
            <family val="2"/>
          </rPr>
          <t xml:space="preserve">Pessoa que foi designada como homem ao nascer, mas se identifica e vive como mulher. A identidade travesti se relaciona  a uma perspectiva cultural e política de resistência própria do contexto latino-americano. </t>
        </r>
      </text>
    </comment>
    <comment ref="A70" authorId="4" shapeId="0" xr:uid="{E49131EE-1BF9-4539-99A8-277B23524498}">
      <text>
        <r>
          <rPr>
            <sz val="9"/>
            <color indexed="81"/>
            <rFont val="Segoe UI"/>
            <family val="2"/>
          </rPr>
          <t>Pessoa que foi designada como mulher ao nascer, mas se identifica e vive como homem.</t>
        </r>
      </text>
    </comment>
    <comment ref="A71" authorId="4" shapeId="0" xr:uid="{C851BDCC-D869-4196-AC88-EF7939DE636C}">
      <text>
        <r>
          <rPr>
            <sz val="9"/>
            <color indexed="81"/>
            <rFont val="Segoe UI"/>
            <family val="2"/>
          </rPr>
          <t xml:space="preserve">Pessoa cuja identidade de gênero não se encaixa exclusivamente nas categorias de homem ou mulher, podendo transitar entre gêneros ou não se identificar com nenhum deles. </t>
        </r>
      </text>
    </comment>
    <comment ref="A72" authorId="4" shapeId="0" xr:uid="{055F536F-8846-476F-81A4-E6620871A127}">
      <text>
        <r>
          <rPr>
            <sz val="9"/>
            <color indexed="81"/>
            <rFont val="Segoe UI"/>
            <family val="2"/>
          </rPr>
          <t>Pessoa que não se identifica com as categorias propostas e que prefere outra definição.</t>
        </r>
      </text>
    </comment>
    <comment ref="A73" authorId="2" shapeId="0" xr:uid="{00000000-0006-0000-0000-00000D000000}">
      <text>
        <r>
          <rPr>
            <b/>
            <sz val="10"/>
            <color indexed="81"/>
            <rFont val="Tahoma"/>
            <family val="2"/>
          </rPr>
          <t>Se a soma no perfil não for igual ao total de crianças/adolescentes protegidos desde o início do programa, aparece "ERRO!".</t>
        </r>
      </text>
    </comment>
    <comment ref="B76" authorId="0" shapeId="0" xr:uid="{00000000-0006-0000-0000-00000E000000}">
      <text>
        <r>
          <rPr>
            <b/>
            <sz val="10"/>
            <color indexed="81"/>
            <rFont val="Tahoma"/>
            <family val="2"/>
          </rPr>
          <t>Aqui deve ser lançada a informação do número de pessoas que terminaram 2024 protegidas, iniciando 2025 no Programa.</t>
        </r>
      </text>
    </comment>
    <comment ref="A77" authorId="4" shapeId="0" xr:uid="{9E78625B-2585-48A7-BF4E-D9C4A1523D71}">
      <text>
        <r>
          <rPr>
            <sz val="9"/>
            <color indexed="81"/>
            <rFont val="Segoe UI"/>
            <family val="2"/>
          </rPr>
          <t>Pessoa que sente atração romântica e/ou sexual por indivíduos de gênero diferente do seu.</t>
        </r>
      </text>
    </comment>
    <comment ref="A78" authorId="4" shapeId="0" xr:uid="{600044DD-891D-4DE3-A064-CABC61487CCB}">
      <text>
        <r>
          <rPr>
            <sz val="9"/>
            <color indexed="81"/>
            <rFont val="Segoe UI"/>
            <family val="2"/>
          </rPr>
          <t>Mulher que sente atração romântica e/ou sexual por outras mulheres.</t>
        </r>
      </text>
    </comment>
    <comment ref="A79" authorId="4" shapeId="0" xr:uid="{E426AB4A-42BB-4B8F-BBB6-785BD374A2D1}">
      <text>
        <r>
          <rPr>
            <sz val="9"/>
            <color indexed="81"/>
            <rFont val="Segoe UI"/>
            <family val="2"/>
          </rPr>
          <t>Homem que sente atração romântica e/ou sexual por outros homens.</t>
        </r>
      </text>
    </comment>
    <comment ref="A80" authorId="4" shapeId="0" xr:uid="{23953315-5615-4D80-9427-44025827B8ED}">
      <text>
        <r>
          <rPr>
            <sz val="9"/>
            <color indexed="81"/>
            <rFont val="Segoe UI"/>
            <family val="2"/>
          </rPr>
          <t>Pessoa que sente atração romântica e/ou sexual por mais de um gênero.</t>
        </r>
      </text>
    </comment>
    <comment ref="A81" authorId="4" shapeId="0" xr:uid="{A238DA97-F8D3-4177-90D2-C5D2D5BBD108}">
      <text>
        <r>
          <rPr>
            <sz val="9"/>
            <color indexed="81"/>
            <rFont val="Segoe UI"/>
            <family val="2"/>
          </rPr>
          <t>Categoria que deve ser utilizada para pessoas, como parte das crianças de até 12 anos, que não possuem orientação sexual.</t>
        </r>
      </text>
    </comment>
    <comment ref="A82" authorId="4" shapeId="0" xr:uid="{40BD4494-F42B-45AE-83FE-892D4C04CE99}">
      <text>
        <r>
          <rPr>
            <sz val="9"/>
            <color indexed="81"/>
            <rFont val="Segoe UI"/>
            <family val="2"/>
          </rPr>
          <t>Pessoa que opta por não declarar ou não possui clareza sobre sua orientação sexual.</t>
        </r>
      </text>
    </comment>
    <comment ref="A83" authorId="4" shapeId="0" xr:uid="{21F3E51E-D08D-4331-B62C-A9B323FADE44}">
      <text>
        <r>
          <rPr>
            <sz val="9"/>
            <color indexed="81"/>
            <rFont val="Segoe UI"/>
            <family val="2"/>
          </rPr>
          <t>Categoria para ser registrada quando a informação não foi coletada.</t>
        </r>
      </text>
    </comment>
    <comment ref="A84" authorId="4" shapeId="0" xr:uid="{AF036EA4-A553-4BB2-B8F5-287C395BD993}">
      <text>
        <r>
          <rPr>
            <sz val="9"/>
            <color indexed="81"/>
            <rFont val="Segoe UI"/>
            <family val="2"/>
          </rPr>
          <t>Pessoa que sente atração de forma diferente das categorias disponíveis e que prefere outra denominação.</t>
        </r>
      </text>
    </comment>
    <comment ref="A85" authorId="2" shapeId="0" xr:uid="{00000000-0006-0000-0000-000010000000}">
      <text>
        <r>
          <rPr>
            <b/>
            <sz val="10"/>
            <color indexed="81"/>
            <rFont val="Tahoma"/>
            <family val="2"/>
          </rPr>
          <t>Se a soma no perfil não for igual ao nº. de crianças/adolescentes incluídos no mês, aparece "ERRO!".</t>
        </r>
      </text>
    </comment>
    <comment ref="B88" authorId="0" shapeId="0" xr:uid="{00000000-0006-0000-0000-000011000000}">
      <text>
        <r>
          <rPr>
            <b/>
            <sz val="10"/>
            <color indexed="81"/>
            <rFont val="Tahoma"/>
            <family val="2"/>
          </rPr>
          <t>Aqui deve ser lançada a informação do número de pessoas que terminaram 2024 protegidas, iniciando 2025 no Programa.</t>
        </r>
      </text>
    </comment>
    <comment ref="A89" authorId="4" shapeId="0" xr:uid="{0F477DAE-1D20-43F5-A119-2FF5D8033FA8}">
      <text>
        <r>
          <rPr>
            <sz val="9"/>
            <color indexed="81"/>
            <rFont val="Segoe UI"/>
            <family val="2"/>
          </rPr>
          <t>Pessoa que se declara pertence ao grupo racial de pele branca, com traços fenotípicos europeus</t>
        </r>
      </text>
    </comment>
    <comment ref="A90" authorId="4" shapeId="0" xr:uid="{A6433810-6D78-4CB5-9F05-284DAE3F2A09}">
      <text>
        <r>
          <rPr>
            <sz val="9"/>
            <color indexed="81"/>
            <rFont val="Segoe UI"/>
            <family val="2"/>
          </rPr>
          <t xml:space="preserve">Pessoa que se autodeclara pertencente ao grupo racial de pele preta, com traços fenotípicos africanos. </t>
        </r>
      </text>
    </comment>
    <comment ref="A91" authorId="4" shapeId="0" xr:uid="{297E2637-A7F7-4C15-A23B-A381E2E3E7DE}">
      <text>
        <r>
          <rPr>
            <sz val="9"/>
            <color indexed="81"/>
            <rFont val="Segoe UI"/>
            <family val="2"/>
          </rPr>
          <t>Pessoa que se autodeclara pertencente a uma mistura de raças, incluindo descendências indígenas e/ou africanas.</t>
        </r>
      </text>
    </comment>
    <comment ref="A92" authorId="4" shapeId="0" xr:uid="{8D08C7BD-7609-4E71-95F4-F97E06A9C988}">
      <text>
        <r>
          <rPr>
            <sz val="9"/>
            <color indexed="81"/>
            <rFont val="Segoe UI"/>
            <family val="2"/>
          </rPr>
          <t>Pessoa que se autodeclara de origem asiática, com traços fenotípicos asiáticos.</t>
        </r>
      </text>
    </comment>
    <comment ref="A93" authorId="4" shapeId="0" xr:uid="{3FEDA80C-C389-4AFD-802E-96D8490B324F}">
      <text>
        <r>
          <rPr>
            <sz val="9"/>
            <color indexed="81"/>
            <rFont val="Segoe UI"/>
            <family val="2"/>
          </rPr>
          <t>Pessoa que se autodeclara pertencente aos povos originários das Américas.</t>
        </r>
      </text>
    </comment>
    <comment ref="A94" authorId="4" shapeId="0" xr:uid="{B6F5BD39-B955-4145-8772-9A88B1C8196A}">
      <text>
        <r>
          <rPr>
            <sz val="9"/>
            <color indexed="81"/>
            <rFont val="Segoe UI"/>
            <family val="2"/>
          </rPr>
          <t>Categoria para pessoas que não se identificam com as opções de raça/cor descritas acima e preferem outra classificação.</t>
        </r>
      </text>
    </comment>
    <comment ref="A95" authorId="2" shapeId="0" xr:uid="{00000000-0006-0000-0000-000012000000}">
      <text>
        <r>
          <rPr>
            <sz val="8"/>
            <color indexed="81"/>
            <rFont val="Tahoma"/>
            <family val="2"/>
          </rPr>
          <t>Se a soma no perfil não for igual ao no. de cr/ado incluídos no mês, aparece "ERRO!".</t>
        </r>
      </text>
    </comment>
    <comment ref="A96" authorId="0" shapeId="0" xr:uid="{00000000-0006-0000-0000-000013000000}">
      <text>
        <r>
          <rPr>
            <b/>
            <sz val="8"/>
            <color indexed="81"/>
            <rFont val="Tahoma"/>
            <family val="2"/>
          </rPr>
          <t>Manter o registro da idade do momento da inclusão</t>
        </r>
        <r>
          <rPr>
            <sz val="8"/>
            <color indexed="81"/>
            <rFont val="Tahoma"/>
            <family val="2"/>
          </rPr>
          <t xml:space="preserve">
</t>
        </r>
      </text>
    </comment>
    <comment ref="B98" authorId="0" shapeId="0" xr:uid="{00000000-0006-0000-0000-000014000000}">
      <text>
        <r>
          <rPr>
            <b/>
            <sz val="10"/>
            <color indexed="81"/>
            <rFont val="Tahoma"/>
            <family val="2"/>
          </rPr>
          <t>Aqui deve ser lançada a informação do número de pessoas que terminaram 2024 protegidas, iniciando 2025 no Programa.</t>
        </r>
      </text>
    </comment>
    <comment ref="A112" authorId="2" shapeId="0" xr:uid="{00000000-0006-0000-0000-000015000000}">
      <text>
        <r>
          <rPr>
            <b/>
            <sz val="10"/>
            <color indexed="81"/>
            <rFont val="Tahoma"/>
            <family val="2"/>
          </rPr>
          <t>Se a soma no perfil não for igual ao no. de cr/ado incluídos no mês, aparece "ERRO!".</t>
        </r>
      </text>
    </comment>
    <comment ref="B115" authorId="0" shapeId="0" xr:uid="{00000000-0006-0000-0000-000016000000}">
      <text>
        <r>
          <rPr>
            <b/>
            <sz val="10"/>
            <color indexed="81"/>
            <rFont val="Tahoma"/>
            <family val="2"/>
          </rPr>
          <t>Aqui deve ser lançada a informação do número de pessoas que terminaram 2024 protegidas, iniciando 2025 no Programa.</t>
        </r>
      </text>
    </comment>
    <comment ref="A116" authorId="4" shapeId="0" xr:uid="{3856FE9D-46CF-48C5-BC76-5BE9C410C111}">
      <text>
        <r>
          <rPr>
            <sz val="9"/>
            <color indexed="81"/>
            <rFont val="Segoe UI"/>
            <family val="2"/>
          </rPr>
          <t>Alterações completas ou parciais de alguma parte do corpo, que geram comprometimento da função física.</t>
        </r>
      </text>
    </comment>
    <comment ref="A117" authorId="4" shapeId="0" xr:uid="{9EB81173-107A-4895-A385-8F82F5AA5028}">
      <text>
        <r>
          <rPr>
            <sz val="9"/>
            <color indexed="81"/>
            <rFont val="Segoe UI"/>
            <family val="2"/>
          </rPr>
          <t xml:space="preserve">Alterações relacionadas a limitação parcial ou total na capacidade de perceber e processar informações relacionadas a um ou mais dos sentidos humanos - visão, audição, tato, olfato ou paladar. </t>
        </r>
      </text>
    </comment>
    <comment ref="A118" authorId="4" shapeId="0" xr:uid="{6236728E-C853-429A-8380-C1446A45F7BA}">
      <text>
        <r>
          <rPr>
            <sz val="9"/>
            <color indexed="81"/>
            <rFont val="Segoe UI"/>
            <family val="2"/>
          </rPr>
          <t xml:space="preserve">Alterações relacionadas ao neurodesenvolvimento do indivíduo que produzem formas distintas de cognição, comportamento, comunicação e/ou aprendizagem. </t>
        </r>
      </text>
    </comment>
    <comment ref="A119" authorId="4" shapeId="0" xr:uid="{821467C7-B1C7-4803-ADBC-A1044961CFBD}">
      <text>
        <r>
          <rPr>
            <sz val="9"/>
            <color indexed="81"/>
            <rFont val="Segoe UI"/>
            <family val="2"/>
          </rPr>
          <t xml:space="preserve">Quando há a ocorrência de mais de um tipo de deficiência. </t>
        </r>
      </text>
    </comment>
    <comment ref="A121" authorId="2" shapeId="0" xr:uid="{00000000-0006-0000-0000-000018000000}">
      <text>
        <r>
          <rPr>
            <b/>
            <sz val="10"/>
            <color indexed="81"/>
            <rFont val="Tahoma"/>
            <family val="2"/>
          </rPr>
          <t>Se a soma no perfil não for igual ao total de crianças/adolescentes protegidos desde o início do programa, aparece "ERRO!".</t>
        </r>
      </text>
    </comment>
    <comment ref="A122" authorId="4" shapeId="0" xr:uid="{020E9D70-D87E-487C-8E9D-5A134C686FE7}">
      <text>
        <r>
          <rPr>
            <sz val="9"/>
            <color indexed="81"/>
            <rFont val="Segoe UI"/>
            <family val="2"/>
          </rPr>
          <t xml:space="preserve">Para as pessoas que estiverem cursando o EJA, favor registrar o ano completo análogo. </t>
        </r>
      </text>
    </comment>
    <comment ref="B124" authorId="0" shapeId="0" xr:uid="{00000000-0006-0000-0000-000019000000}">
      <text>
        <r>
          <rPr>
            <b/>
            <sz val="10"/>
            <color indexed="81"/>
            <rFont val="Tahoma"/>
            <family val="2"/>
          </rPr>
          <t>Aqui deve ser lançada a informação do número de pessoas que terminaram 2024 protegidas, iniciando 2025 no Programa.</t>
        </r>
      </text>
    </comment>
    <comment ref="A140" authorId="2" shapeId="0" xr:uid="{00000000-0006-0000-0000-00001A000000}">
      <text>
        <r>
          <rPr>
            <b/>
            <sz val="10"/>
            <color indexed="81"/>
            <rFont val="Tahoma"/>
            <family val="2"/>
          </rPr>
          <t>Se a soma no perfil não for igual ao no. de cr/ado incluídos no mês, aparece "ERRO!".</t>
        </r>
      </text>
    </comment>
    <comment ref="B150" authorId="0" shapeId="0" xr:uid="{00000000-0006-0000-0000-00001B000000}">
      <text>
        <r>
          <rPr>
            <b/>
            <sz val="10"/>
            <color indexed="81"/>
            <rFont val="Tahoma"/>
            <family val="2"/>
          </rPr>
          <t>Aqui deve ser lançada a informação do número de pessoas que terminaram 2024 protegidas, iniciando 2025 no Programa.</t>
        </r>
      </text>
    </comment>
    <comment ref="A155" authorId="2" shapeId="0" xr:uid="{00000000-0006-0000-0000-00001C000000}">
      <text>
        <r>
          <rPr>
            <b/>
            <sz val="10"/>
            <color indexed="81"/>
            <rFont val="Tahoma"/>
            <family val="2"/>
          </rPr>
          <t>Se a soma no perfil não for igual ao nº. de crianças/adolescentes incluídos no mês, aparece "ERRO!".</t>
        </r>
      </text>
    </comment>
    <comment ref="A156" authorId="0" shapeId="0" xr:uid="{00000000-0006-0000-0000-00001D000000}">
      <text>
        <r>
          <rPr>
            <b/>
            <sz val="8"/>
            <color indexed="81"/>
            <rFont val="Tahoma"/>
            <family val="2"/>
          </rPr>
          <t>Quando houver mais de um, informar o motivo principal da ameaça e, se for o caso, relatar os demais nos comentários adicionais</t>
        </r>
        <r>
          <rPr>
            <sz val="8"/>
            <color indexed="81"/>
            <rFont val="Tahoma"/>
            <family val="2"/>
          </rPr>
          <t xml:space="preserve">
</t>
        </r>
      </text>
    </comment>
    <comment ref="B158" authorId="0" shapeId="0" xr:uid="{00000000-0006-0000-0000-00001E000000}">
      <text>
        <r>
          <rPr>
            <b/>
            <sz val="10"/>
            <color indexed="81"/>
            <rFont val="Tahoma"/>
            <family val="2"/>
          </rPr>
          <t>Aqui deve ser lançada a informação do número de pessoas que terminaram 2024 protegidas, iniciando 2025 no Programa.</t>
        </r>
      </text>
    </comment>
    <comment ref="A159" authorId="4" shapeId="0" xr:uid="{C2E0857F-6FC8-4656-A7A5-3BA10870E5CD}">
      <text>
        <r>
          <rPr>
            <sz val="9"/>
            <color indexed="81"/>
            <rFont val="Segoe UI"/>
            <family val="2"/>
          </rPr>
          <t>Refere-se a toda e qualquer ameaça relacionada ao tráfico de drogas e a atuação de facções de origem prisional que atuam no tráfico de drogas. Caso a ameaça seja motivada pela Abrangência do Tráfico, o motivo da ameaça deve ser registrado na tabela "Abrangência do Tráfico" (ao lado).</t>
        </r>
      </text>
    </comment>
    <comment ref="A160" authorId="4" shapeId="0" xr:uid="{D52D5834-FA21-4875-9458-41241C997292}">
      <text>
        <r>
          <rPr>
            <sz val="9"/>
            <color indexed="81"/>
            <rFont val="Segoe UI"/>
            <family val="2"/>
          </rPr>
          <t>Ameaças provenientes de conflitos no ambiente familiar, incluindo abusos físicos, sexuais, morais, psicológicos ou patrimoniais, geralmente entre membros de uma mesma família ou entre pessoas que possuem relações íntimas.</t>
        </r>
      </text>
    </comment>
    <comment ref="A161" authorId="4" shapeId="0" xr:uid="{CED482F3-FEB6-4901-9552-020C66A8277B}">
      <text>
        <r>
          <rPr>
            <sz val="9"/>
            <color indexed="81"/>
            <rFont val="Segoe UI"/>
            <family val="2"/>
          </rPr>
          <t>Quando a ameaça decorre de um policial ou de um grupo de policiais usarem sua posição de autoridade para intimidar, coagir e/ou violentar a pessoa ameaçada, com o intuito de causar medo ou forçar a pessoa a agir de acordo com a vontade dos/do policial/policiais.</t>
        </r>
      </text>
    </comment>
    <comment ref="A162" authorId="4" shapeId="0" xr:uid="{DD1F3A0F-428D-4F30-92E1-7CB689265A66}">
      <text>
        <r>
          <rPr>
            <sz val="9"/>
            <color indexed="81"/>
            <rFont val="Segoe UI"/>
            <family val="2"/>
          </rPr>
          <t xml:space="preserve">A pessoa é ameaçada para impedir que revele informações que possam prejudicar interesses de outras pessoas ou de organizações independentemente de estar vinculada em inquérito policial ou processo judicial. </t>
        </r>
      </text>
    </comment>
    <comment ref="A163" authorId="4" shapeId="0" xr:uid="{943F87E1-0C62-458E-AA57-1DB5683DA1A2}">
      <text>
        <r>
          <rPr>
            <sz val="9"/>
            <color indexed="81"/>
            <rFont val="Segoe UI"/>
            <family val="2"/>
          </rPr>
          <t>Ameaças realizadas por grupos estruturados que atuam em atividades ilícitas, exceção feita às facções de origem prisional relacionadas ao tráfico de drogas.</t>
        </r>
      </text>
    </comment>
    <comment ref="A164" authorId="4" shapeId="0" xr:uid="{5A96233F-F44D-44A3-8FAD-84309F92573E}">
      <text>
        <r>
          <rPr>
            <sz val="9"/>
            <color indexed="81"/>
            <rFont val="Segoe UI"/>
            <family val="2"/>
          </rPr>
          <t>Quando a pessoa está sendo ou foi forçada a participar de atividades sexuais contra a sua vontade mediante ameaça. Caso a ameaça seja motivada por violência sexual, o motivo da ameaça deve ser registrado na tabela "Vítimas de violência sexual" (ao lado).</t>
        </r>
      </text>
    </comment>
    <comment ref="A165" authorId="4" shapeId="0" xr:uid="{6BBEDB47-EF5A-406C-83CC-4D6B569BB9D3}">
      <text>
        <r>
          <rPr>
            <sz val="9"/>
            <color indexed="81"/>
            <rFont val="Segoe UI"/>
            <family val="2"/>
          </rPr>
          <t xml:space="preserve">Ameaças motivadas por discriminação ou preconceito contra a prática religiosa ou espiritual da pessoa ameaçada. </t>
        </r>
      </text>
    </comment>
    <comment ref="A166" authorId="4" shapeId="0" xr:uid="{08E90EA4-6524-44DE-BB07-1A83603D53C9}">
      <text>
        <r>
          <rPr>
            <sz val="9"/>
            <color indexed="81"/>
            <rFont val="Segoe UI"/>
            <family val="2"/>
          </rPr>
          <t xml:space="preserve">A ameaça é decorrente de conflito no âmbito da família extensa, envolvendo pessoas que têm laços de parentesco. </t>
        </r>
      </text>
    </comment>
    <comment ref="A167" authorId="4" shapeId="0" xr:uid="{8FF6D928-D362-4B81-852D-1B92B3F5E49F}">
      <text>
        <r>
          <rPr>
            <sz val="9"/>
            <color indexed="81"/>
            <rFont val="Segoe UI"/>
            <family val="2"/>
          </rPr>
          <t>A pessoa está ameaçada em decorrência do ameaçador ou dos ameaçadores acreditarem ou souberem que ela cometeu ato infracional análogo a determinados crimes e buscarem vingança. O ato infracional deve ser especificado na tabela "Por cometimento (ou suposto cometimento) de ato infracional análogo aos seguintes crimes" (ao lado).</t>
        </r>
      </text>
    </comment>
    <comment ref="A168" authorId="4" shapeId="0" xr:uid="{034DCF38-92A5-46D7-A995-8AE47E07455E}">
      <text>
        <r>
          <rPr>
            <sz val="9"/>
            <color indexed="81"/>
            <rFont val="Segoe UI"/>
            <family val="2"/>
          </rPr>
          <t xml:space="preserve">Categoria que deve ser registrada para ameaças que não se enquadram nas definições anteriores, exigindo o detalhamento no campo de texto abaixo para caracterização do motivo específico para cada registro de "Outros". </t>
        </r>
      </text>
    </comment>
    <comment ref="A169" authorId="4" shapeId="0" xr:uid="{7304ED96-3B75-492A-8C0D-A0B5A8C92074}">
      <text>
        <r>
          <rPr>
            <sz val="9"/>
            <color indexed="81"/>
            <rFont val="Segoe UI"/>
            <family val="2"/>
          </rPr>
          <t>Situações em que a pessoa ameaçada enfrenta diferentes formas de ameaça simultaneamente, provenientes de diversas motivações. Os casos de "Múltiplas Ameaças" registrados devem ser especificados na caixa de texto "Múltiplas Ameaças" (ao lado), a partir das categorias propostas como alternativas acima.</t>
        </r>
      </text>
    </comment>
    <comment ref="A170" authorId="4" shapeId="0" xr:uid="{D9EA38B7-9E5C-4795-8605-ED93BD3D2687}">
      <text>
        <r>
          <rPr>
            <sz val="9"/>
            <color indexed="81"/>
            <rFont val="Segoe UI"/>
            <family val="2"/>
          </rPr>
          <t>Detalhar a caracterização do motivo específico das ameaças registradas como "Outro". Por exemplo, se o Estado XX teve 2 registros de "Outros", deve informar: [1] Ameaçado em decorrência de chantagem realizada contra seus genitores; [2] Ameaçada por ter enfrentado pessoa com poder político.</t>
        </r>
      </text>
    </comment>
    <comment ref="A172" authorId="2" shapeId="0" xr:uid="{00000000-0006-0000-0000-000020000000}">
      <text>
        <r>
          <rPr>
            <b/>
            <sz val="10"/>
            <color indexed="81"/>
            <rFont val="Tahoma"/>
            <family val="2"/>
          </rPr>
          <t>Se a soma no perfil não for igual ao nº. de crianças/adolescentes incluídos no mês, aparece "ERRO!".</t>
        </r>
      </text>
    </comment>
    <comment ref="B175" authorId="0" shapeId="0" xr:uid="{F9BC548F-A29A-406E-B3A4-905F12A31FB2}">
      <text>
        <r>
          <rPr>
            <b/>
            <sz val="10"/>
            <color indexed="81"/>
            <rFont val="Tahoma"/>
            <family val="2"/>
          </rPr>
          <t>Aqui deve ser lançada a informação do número de pessoas que terminaram 2024 protegidas, iniciando 2025 no Programa.</t>
        </r>
      </text>
    </comment>
    <comment ref="A176" authorId="4" shapeId="0" xr:uid="{427BDDF9-37F2-4A35-9113-92DD16D7632C}">
      <text>
        <r>
          <rPr>
            <sz val="9"/>
            <color indexed="81"/>
            <rFont val="Segoe UI"/>
            <family val="2"/>
          </rPr>
          <t xml:space="preserve">Situação em que a pessoa ameaçada manifesta a intenção de deixar de participar ou de romper vínculos com o tráfico de drogas ou com a organização criminosa, gerando represálias ou ameaças. </t>
        </r>
      </text>
    </comment>
    <comment ref="A177" authorId="4" shapeId="0" xr:uid="{7FFED5A0-0366-416A-A5FE-13F3EA6B07B9}">
      <text>
        <r>
          <rPr>
            <sz val="9"/>
            <color indexed="81"/>
            <rFont val="Segoe UI"/>
            <family val="2"/>
          </rPr>
          <t xml:space="preserve">Quando a pessoa ameaçadora considera que a pessoa ameaçada testemunhou ou pode testemunhar contra ela ou contra a organização, seja em processos legais ou em investigações e/ou julgamentos formais ou informais. 
</t>
        </r>
      </text>
    </comment>
    <comment ref="A178" authorId="4" shapeId="0" xr:uid="{5B347696-0F2F-476F-8478-228A908FA00F}">
      <text>
        <r>
          <rPr>
            <sz val="9"/>
            <color indexed="81"/>
            <rFont val="Segoe UI"/>
            <family val="2"/>
          </rPr>
          <t xml:space="preserve">Conflitos territoriais e identitários entre duas ou mais facções do crime organizado pelo controle territorial, econômico ou por outras razões, no qual a pessoa ameaçada pode ser alvo por alguma forma de envolvimento direto ou indireto. </t>
        </r>
      </text>
    </comment>
    <comment ref="A179" authorId="4" shapeId="0" xr:uid="{3CDFB377-701F-47A4-A278-47A2CD5B01A9}">
      <text>
        <r>
          <rPr>
            <sz val="9"/>
            <color indexed="81"/>
            <rFont val="Segoe UI"/>
            <family val="2"/>
          </rPr>
          <t>Quando alguém age de maneira que desagrade a organização criminosa nos territórios que ela domina, resultando em ameaças e punições. Exemplos incluem furtos, brigas recorrentes, intolerância religiosa ou chamar a atenção da polícia.</t>
        </r>
      </text>
    </comment>
    <comment ref="A180" authorId="4" shapeId="0" xr:uid="{FF3F7D91-DDEE-4C06-8463-3DD4CF76E794}">
      <text>
        <r>
          <rPr>
            <sz val="9"/>
            <color indexed="81"/>
            <rFont val="Segoe UI"/>
            <family val="2"/>
          </rPr>
          <t xml:space="preserve">A ameaça decorre de contexto de relacionamento afetivo/sexual, consensual ou não, com pessoas envolvidas com o tráfico de drogas. </t>
        </r>
      </text>
    </comment>
    <comment ref="A181" authorId="4" shapeId="0" xr:uid="{4CF25782-1567-4D12-9329-6C679F0206EA}">
      <text>
        <r>
          <rPr>
            <sz val="9"/>
            <color indexed="81"/>
            <rFont val="Segoe UI"/>
            <family val="2"/>
          </rPr>
          <t xml:space="preserve">A ameaça é decorrente de denúncia ou suposta denúncia de fornecimento de informações às autoridades ou para grupos inimigos sobre práticas relacionadas às facções do tráfico de drogas. </t>
        </r>
      </text>
    </comment>
    <comment ref="A182" authorId="4" shapeId="0" xr:uid="{CECCCF16-4479-4D2B-8F4C-9EF34A128FDE}">
      <text>
        <r>
          <rPr>
            <sz val="9"/>
            <color indexed="81"/>
            <rFont val="Segoe UI"/>
            <family val="2"/>
          </rPr>
          <t xml:space="preserve">Quando a pessoa é ameaçada devido ao não pagamento de dívidas contraídas pelo consumo de drogas. </t>
        </r>
      </text>
    </comment>
    <comment ref="A183" authorId="4" shapeId="0" xr:uid="{9BE5E26D-A594-4E09-A064-48EED5BB7327}">
      <text>
        <r>
          <rPr>
            <sz val="9"/>
            <color indexed="81"/>
            <rFont val="Segoe UI"/>
            <family val="2"/>
          </rPr>
          <t xml:space="preserve">Dívidas contraídas por perder mercadorias, armas ou em outro contexto que envolve diretamente o trabalho da pessoa ameaçada na organização criminosa. </t>
        </r>
      </text>
    </comment>
    <comment ref="A184" authorId="2" shapeId="0" xr:uid="{D32520EE-F480-4D1A-9BF5-3F6A74D3C5C3}">
      <text>
        <r>
          <rPr>
            <b/>
            <sz val="10"/>
            <color indexed="81"/>
            <rFont val="Tahoma"/>
            <family val="2"/>
          </rPr>
          <t>Se a soma no perfil não for igual ao nº. de crianças/adolescentes cujo motivo da ameaça é "Abrangência do Tráfico", aparece "ERRO!".</t>
        </r>
      </text>
    </comment>
    <comment ref="B193" authorId="0" shapeId="0" xr:uid="{35071A6C-4A7C-4E45-8F70-8930DDB50FC4}">
      <text>
        <r>
          <rPr>
            <b/>
            <sz val="10"/>
            <color indexed="81"/>
            <rFont val="Tahoma"/>
            <family val="2"/>
          </rPr>
          <t>Aqui deve ser lançada a informação do número de pessoas que terminaram 2024 protegidas, iniciando 2025 no Programa.</t>
        </r>
      </text>
    </comment>
    <comment ref="A194" authorId="4" shapeId="0" xr:uid="{0962360E-D5B0-442A-AC56-5498B64FFEEB}">
      <text>
        <r>
          <rPr>
            <sz val="9"/>
            <color indexed="81"/>
            <rFont val="Segoe UI"/>
            <family val="2"/>
          </rPr>
          <t xml:space="preserve">Qualquer forma de envolvimento de uma criança ou adolescente em atividades de natureza sexual para a satisfação de outra pessoa. Esse tipo de violência pode ocorrer por meio de coerção, manipulação, ameaça ou sem o uso de força física, aproveitando-se da vulnerabilidade da vítima. O abuso pode ser com contato físico, quando há toques, carícias, atos sexuais forçados ou induzidos, ou sem contato físico, quando envolve exposição indevida, envio ou recebimento de conteúdos pornográficos, assédio verbal e outras formas de abuso psicológico ou moral. </t>
        </r>
      </text>
    </comment>
    <comment ref="A195" authorId="4" shapeId="0" xr:uid="{F5C76085-B23A-438B-9146-E583CA2A8307}">
      <text>
        <r>
          <rPr>
            <sz val="9"/>
            <color indexed="81"/>
            <rFont val="Segoe UI"/>
            <family val="2"/>
          </rPr>
          <t xml:space="preserve">Uso de crianças e adolescentes para fins sexuais visando o lucro, seja no compartilhamento de conteúdo e imagem de abuso sexual, nas redes de tráfico e no turismo com motivação sexual. </t>
        </r>
      </text>
    </comment>
    <comment ref="A196" authorId="2" shapeId="0" xr:uid="{123F0595-2839-46BF-83A4-4A1F89C2DA25}">
      <text>
        <r>
          <rPr>
            <b/>
            <sz val="10"/>
            <color indexed="81"/>
            <rFont val="Tahoma"/>
            <family val="2"/>
          </rPr>
          <t>Se a soma no perfil não for igual ao nº. de crianças/adolescentes ameaçados por serem "Vítimas de violência sexual", aparece "ERRO!".</t>
        </r>
      </text>
    </comment>
    <comment ref="B200" authorId="0" shapeId="0" xr:uid="{0F713880-AF6B-407C-918D-427F36B45B68}">
      <text>
        <r>
          <rPr>
            <b/>
            <sz val="10"/>
            <color indexed="81"/>
            <rFont val="Tahoma"/>
            <family val="2"/>
          </rPr>
          <t>Aqui deve ser lançada a informação do número de pessoas que terminaram 2024 protegidas, iniciando 2025 no Programa.</t>
        </r>
      </text>
    </comment>
    <comment ref="A201" authorId="4" shapeId="0" xr:uid="{585CC1ED-1FA9-47EC-AB44-285FB5EEC236}">
      <text>
        <r>
          <rPr>
            <sz val="9"/>
            <color indexed="81"/>
            <rFont val="Segoe UI"/>
            <family val="2"/>
          </rPr>
          <t>Ato de tirar a vida de outra pessoa.</t>
        </r>
      </text>
    </comment>
    <comment ref="A202" authorId="4" shapeId="0" xr:uid="{5D0DB3DC-113F-446F-B6AF-5D8091FBB196}">
      <text>
        <r>
          <rPr>
            <sz val="9"/>
            <color indexed="81"/>
            <rFont val="Segoe UI"/>
            <family val="2"/>
          </rPr>
          <t xml:space="preserve">Homicídio cometido contra mulheres em razão do seu gênero, associado a violência de gênero ou misoginia. </t>
        </r>
      </text>
    </comment>
    <comment ref="A203" authorId="4" shapeId="0" xr:uid="{CE5389C7-9629-4C4F-A3AC-0E387AAE2D25}">
      <text>
        <r>
          <rPr>
            <sz val="9"/>
            <color indexed="81"/>
            <rFont val="Segoe UI"/>
            <family val="2"/>
          </rPr>
          <t>Atos que violam a dignidade sexual de outra pessoa, como o estupro, abuso ou exploração sexual.</t>
        </r>
      </text>
    </comment>
    <comment ref="A204" authorId="4" shapeId="0" xr:uid="{CCC4AE6A-F704-42E3-B04C-4F119FF7E340}">
      <text>
        <r>
          <rPr>
            <sz val="9"/>
            <color indexed="81"/>
            <rFont val="Segoe UI"/>
            <family val="2"/>
          </rPr>
          <t>Quando um roubo resulta em um homicídio.</t>
        </r>
      </text>
    </comment>
    <comment ref="A205" authorId="4" shapeId="0" xr:uid="{516ED605-5DCE-4AF7-9516-0F7E1AE96ADE}">
      <text>
        <r>
          <rPr>
            <sz val="9"/>
            <color indexed="81"/>
            <rFont val="Segoe UI"/>
            <family val="2"/>
          </rPr>
          <t>Subtração de bens mediante violência ou grave ameaça.</t>
        </r>
      </text>
    </comment>
    <comment ref="A206" authorId="4" shapeId="0" xr:uid="{E9841087-9382-46A4-8694-0E10D79C99DC}">
      <text>
        <r>
          <rPr>
            <sz val="9"/>
            <color indexed="81"/>
            <rFont val="Segoe UI"/>
            <family val="2"/>
          </rPr>
          <t>Subtração de bens alheios sem o uso de violência.</t>
        </r>
      </text>
    </comment>
    <comment ref="A207" authorId="2" shapeId="0" xr:uid="{70E6EFED-5D3C-4989-8662-F50A3BEEA08D}">
      <text>
        <r>
          <rPr>
            <b/>
            <sz val="10"/>
            <color indexed="81"/>
            <rFont val="Tahoma"/>
            <family val="2"/>
          </rPr>
          <t>Se a soma no perfil não for igual ao nº. de crianças/adolescentes cujo motivo da ameaça é "Por cometimento (ou suposto cometimento) de ato infracional análogo a crimes", aparece "ERRO!".</t>
        </r>
      </text>
    </comment>
    <comment ref="B216" authorId="0" shapeId="0" xr:uid="{00000000-0006-0000-0000-000022000000}">
      <text>
        <r>
          <rPr>
            <b/>
            <sz val="10"/>
            <color indexed="81"/>
            <rFont val="Tahoma"/>
            <family val="2"/>
          </rPr>
          <t>Aqui deve ser lançada a informação do número de pessoas que terminaram 2024 protegidas, iniciando 2025 no Programa.</t>
        </r>
      </text>
    </comment>
    <comment ref="A226" authorId="2" shapeId="0" xr:uid="{00000000-0006-0000-0000-000023000000}">
      <text>
        <r>
          <rPr>
            <b/>
            <sz val="10"/>
            <color indexed="81"/>
            <rFont val="Tahoma"/>
            <family val="2"/>
          </rPr>
          <t>Se a soma no perfil não for igual ao nº. de crianças/adolescentes incluídos no mês, aparece "ERRO!".</t>
        </r>
      </text>
    </comment>
    <comment ref="A227" authorId="7" shapeId="0" xr:uid="{00000000-0006-0000-0000-000024000000}">
      <text>
        <r>
          <rPr>
            <b/>
            <sz val="10"/>
            <color indexed="81"/>
            <rFont val="Tahoma"/>
            <family val="2"/>
          </rPr>
          <t>A renda familiar deve ser avaliada sem considerar os valores provenientes dos benefícios sociais, exceção feita à pensão alimentícia ou pensão por morte.</t>
        </r>
      </text>
    </comment>
    <comment ref="B229" authorId="0" shapeId="0" xr:uid="{00000000-0006-0000-0000-000025000000}">
      <text>
        <r>
          <rPr>
            <b/>
            <sz val="10"/>
            <color indexed="81"/>
            <rFont val="Tahoma"/>
            <family val="2"/>
          </rPr>
          <t>Aqui deve ser lançada a informação do número de pessoas que terminaram 2024 protegidas, iniciando 2025 no Programa.</t>
        </r>
      </text>
    </comment>
    <comment ref="A239" authorId="2" shapeId="0" xr:uid="{00000000-0006-0000-0000-000026000000}">
      <text>
        <r>
          <rPr>
            <b/>
            <sz val="10"/>
            <color indexed="81"/>
            <rFont val="Tahoma"/>
            <family val="2"/>
          </rPr>
          <t>Se a soma no perfil não for igual ao nº. de crianças/adolescentes incluídos no mês, aparece "ERRO!".</t>
        </r>
      </text>
    </comment>
    <comment ref="B242" authorId="0" shapeId="0" xr:uid="{00000000-0006-0000-0000-000027000000}">
      <text>
        <r>
          <rPr>
            <b/>
            <sz val="10"/>
            <color indexed="81"/>
            <rFont val="Tahoma"/>
            <family val="2"/>
          </rPr>
          <t>Aqui deve ser lançada a informação do número de pessoas que terminaram 2024 protegidas, iniciando 2025 no Programa.</t>
        </r>
      </text>
    </comment>
    <comment ref="A244" authorId="4" shapeId="0" xr:uid="{73CA51DC-00E4-4498-9448-4203E3970955}">
      <text>
        <r>
          <rPr>
            <sz val="9"/>
            <color indexed="81"/>
            <rFont val="Segoe UI"/>
            <family val="2"/>
          </rPr>
          <t>No caso de adolescentes que solicitaram avaliação antes de completarem 18 anos e que completaram 18 anos antes de ingressarem no Programa, deve ser registrado "Sem responsável legal, mas com autorização judicial".</t>
        </r>
      </text>
    </comment>
    <comment ref="A246" authorId="2" shapeId="0" xr:uid="{00000000-0006-0000-0000-000028000000}">
      <text>
        <r>
          <rPr>
            <b/>
            <sz val="10"/>
            <color indexed="81"/>
            <rFont val="Tahoma"/>
            <family val="2"/>
          </rPr>
          <t>Se a soma no perfil não for igual ao nº. de crianças/adolescentes incluídos no mês, aparece "ERRO!".</t>
        </r>
      </text>
    </comment>
    <comment ref="A247" authorId="0" shapeId="0" xr:uid="{00000000-0006-0000-0000-000029000000}">
      <text>
        <r>
          <rPr>
            <b/>
            <sz val="8"/>
            <color indexed="81"/>
            <rFont val="Tahoma"/>
            <family val="2"/>
          </rPr>
          <t>Quando o protegido ingressar sem a família e essa entrar no Programa posteriormente, indicar o número de familiares incluídos no campo correspondente (linha 44) e indicar o fato nos comentários adicionais. O mesmo vale para a situação inversa.</t>
        </r>
        <r>
          <rPr>
            <sz val="8"/>
            <color indexed="81"/>
            <rFont val="Tahoma"/>
            <family val="2"/>
          </rPr>
          <t xml:space="preserve">
</t>
        </r>
      </text>
    </comment>
    <comment ref="B249" authorId="0" shapeId="0" xr:uid="{00000000-0006-0000-0000-00002A000000}">
      <text>
        <r>
          <rPr>
            <b/>
            <sz val="10"/>
            <color indexed="81"/>
            <rFont val="Tahoma"/>
            <family val="2"/>
          </rPr>
          <t>Aqui deve ser lançada a informação do número de pessoas que terminaram 2024 protegidas, iniciando 2025 no Programa.</t>
        </r>
      </text>
    </comment>
    <comment ref="A254" authorId="2" shapeId="0" xr:uid="{00000000-0006-0000-0000-00002C000000}">
      <text>
        <r>
          <rPr>
            <b/>
            <sz val="10"/>
            <color indexed="81"/>
            <rFont val="Tahoma"/>
            <family val="2"/>
          </rPr>
          <t>Se a soma no perfil não for igual ao nº. de crianças/adolescentes incluídos no mês, aparece "ERRO!".</t>
        </r>
      </text>
    </comment>
    <comment ref="A256" authorId="0" shapeId="0" xr:uid="{46531A04-74CE-4616-9D37-27EBB4E6ABBF}">
      <text>
        <r>
          <rPr>
            <b/>
            <sz val="8"/>
            <color indexed="81"/>
            <rFont val="Tahoma"/>
            <family val="2"/>
          </rPr>
          <t>Quando o protegido ingressar sem a família e essa entrar no Programa posteriormente, indicar o número de familiares incluídos no campo correspondente (linha 44) e indicar o fato nos comentários adicionais. O mesmo vale para a situação inversa.</t>
        </r>
        <r>
          <rPr>
            <sz val="8"/>
            <color indexed="81"/>
            <rFont val="Tahoma"/>
            <family val="2"/>
          </rPr>
          <t xml:space="preserve">
</t>
        </r>
      </text>
    </comment>
    <comment ref="B258" authorId="0" shapeId="0" xr:uid="{4088431C-FA88-467B-9B19-E6C63425E12F}">
      <text>
        <r>
          <rPr>
            <b/>
            <sz val="10"/>
            <color indexed="81"/>
            <rFont val="Tahoma"/>
            <family val="2"/>
          </rPr>
          <t>Aqui deve ser lançada a informação do número de pessoas que terminaram 2024 protegidas, iniciando 2025 no Programa.</t>
        </r>
      </text>
    </comment>
    <comment ref="A274" authorId="2" shapeId="0" xr:uid="{00000000-0006-0000-0000-00002D000000}">
      <text>
        <r>
          <rPr>
            <b/>
            <sz val="10"/>
            <color indexed="81"/>
            <rFont val="Tahoma"/>
            <family val="2"/>
          </rPr>
          <t>Se a soma dos motivos do desligamento não for igual ao nº. de desligados no mês, aparece "ERRO!".</t>
        </r>
      </text>
    </comment>
    <comment ref="A286" authorId="2" shapeId="0" xr:uid="{00000000-0006-0000-0000-00002E000000}">
      <text>
        <r>
          <rPr>
            <b/>
            <sz val="10"/>
            <color indexed="81"/>
            <rFont val="Tahoma"/>
            <family val="2"/>
          </rPr>
          <t>Se a soma das normas descumpridas não for igual ao nº. de desligados por descumprimento de termo ou norma no mês, aparece "ERRO!".</t>
        </r>
      </text>
    </comment>
    <comment ref="A287" authorId="1" shapeId="0" xr:uid="{00000000-0006-0000-0000-00002F000000}">
      <text>
        <r>
          <rPr>
            <b/>
            <sz val="10"/>
            <color indexed="81"/>
            <rFont val="Tahoma"/>
            <family val="2"/>
          </rPr>
          <t>Para o preenchimento deste campo deve-se considerar apenas os casos desligados.</t>
        </r>
      </text>
    </comment>
    <comment ref="A297" authorId="2" shapeId="0" xr:uid="{00000000-0006-0000-0000-000030000000}">
      <text>
        <r>
          <rPr>
            <b/>
            <sz val="10"/>
            <color indexed="81"/>
            <rFont val="Tahoma"/>
            <family val="2"/>
          </rPr>
          <t>Se a soma do nº. do tempo de permanência não for igual ao nº. de desligados no mês, aparece "ERRO!".</t>
        </r>
      </text>
    </comment>
    <comment ref="A298" authorId="1" shapeId="0" xr:uid="{CACD88FB-E2B0-40A5-AC20-AD689331ACD0}">
      <text>
        <r>
          <rPr>
            <b/>
            <sz val="10"/>
            <color indexed="81"/>
            <rFont val="Tahoma"/>
            <family val="2"/>
          </rPr>
          <t>Para o preenchimento deste campo deve-se considerar apenas os casos desligados.</t>
        </r>
      </text>
    </comment>
    <comment ref="A304" authorId="2" shapeId="0" xr:uid="{953E9DDD-808A-4BF3-ACDC-E0FFE6A08A24}">
      <text>
        <r>
          <rPr>
            <b/>
            <sz val="10"/>
            <color indexed="81"/>
            <rFont val="Tahoma"/>
            <family val="2"/>
          </rPr>
          <t>Se a soma do nº. do tempo de permanência não for igual ao nº. de desligados no mês, aparece "ERRO!".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<sst xmlns="http://schemas.openxmlformats.org/spreadsheetml/2006/main" count="600" uniqueCount="227">
  <si>
    <t>Ministério dos Direitos Humanos e da Cidadania</t>
  </si>
  <si>
    <t xml:space="preserve">Secretaria Nacional dos Direitos das Criança e dos Adolescente </t>
  </si>
  <si>
    <t>Programa de Proteção a Crianças e Adolescentes Ameaçados de Morte</t>
  </si>
  <si>
    <t>Programa de Proteção a Crianças e Adolescentes Ameaçados de Morte (PPCAAM)</t>
  </si>
  <si>
    <r>
      <t xml:space="preserve">Ficha de Coleta de Dados </t>
    </r>
    <r>
      <rPr>
        <b/>
        <sz val="11"/>
        <rFont val="Tahoma"/>
        <family val="2"/>
      </rPr>
      <t>Quantitativos</t>
    </r>
    <r>
      <rPr>
        <sz val="11"/>
        <rFont val="Tahoma"/>
        <family val="2"/>
      </rPr>
      <t xml:space="preserve"> dos Programas Estaduais</t>
    </r>
  </si>
  <si>
    <t>Identificação</t>
  </si>
  <si>
    <t>Ano Referência</t>
  </si>
  <si>
    <t>Unidade do PPCAAM</t>
  </si>
  <si>
    <t xml:space="preserve">Responsável pelo preenchimento </t>
  </si>
  <si>
    <t>Coleta mensal</t>
  </si>
  <si>
    <t>Informações sobre Pessoas Protegidas</t>
  </si>
  <si>
    <t>jan</t>
  </si>
  <si>
    <t>fev</t>
  </si>
  <si>
    <t>mar</t>
  </si>
  <si>
    <t>abr</t>
  </si>
  <si>
    <t>mai</t>
  </si>
  <si>
    <t>jun</t>
  </si>
  <si>
    <t>jul</t>
  </si>
  <si>
    <t>ago</t>
  </si>
  <si>
    <t>set</t>
  </si>
  <si>
    <t>out</t>
  </si>
  <si>
    <t>nov</t>
  </si>
  <si>
    <t>dez</t>
  </si>
  <si>
    <t>Total</t>
  </si>
  <si>
    <t>Nº total de crianças e adolescentes PROTEGIDOS</t>
  </si>
  <si>
    <t>Nº total de familiares PROTEGIDOS</t>
  </si>
  <si>
    <t>Total geral de PROTEGIDOS</t>
  </si>
  <si>
    <t>Desligamentos</t>
  </si>
  <si>
    <t>maio</t>
  </si>
  <si>
    <t>agost</t>
  </si>
  <si>
    <t>Nº de crianças/adolescentes ameaçados desligados</t>
  </si>
  <si>
    <t>Nº de familiares desligados</t>
  </si>
  <si>
    <t>Nº de transferências enviadas</t>
  </si>
  <si>
    <t>Total de pessoas desligadas</t>
  </si>
  <si>
    <t>Solicitações e Inclusões</t>
  </si>
  <si>
    <t xml:space="preserve"> </t>
  </si>
  <si>
    <t>Número de solicitações de avaliação</t>
  </si>
  <si>
    <t>Número de solicitações de avaliação de rede recebidas do NTF</t>
  </si>
  <si>
    <t>Casos em análise</t>
  </si>
  <si>
    <t>xxxxx</t>
  </si>
  <si>
    <t xml:space="preserve">Nº de inclusões de criancas/adolescentes ameaçados </t>
  </si>
  <si>
    <t>Nº de inclusões de familiares</t>
  </si>
  <si>
    <t>Número de transferências recebidas</t>
  </si>
  <si>
    <t>Total de Pessoas Incluídas</t>
  </si>
  <si>
    <t>Acolhimento Institucional</t>
  </si>
  <si>
    <t>Negativas de vaga</t>
  </si>
  <si>
    <t>Aceites de vaga</t>
  </si>
  <si>
    <t>Falta de voluntariedade após até 1 mês esperando vaga</t>
  </si>
  <si>
    <t>Falta de voluntariedade após mais que 1 mês até 6 meses esperando vaga</t>
  </si>
  <si>
    <t>Falta de voluntariedade após mais que 6 meses esperando vaga</t>
  </si>
  <si>
    <t>Solicitações por porta de entrada</t>
  </si>
  <si>
    <t>Conselho Tutelar</t>
  </si>
  <si>
    <t xml:space="preserve">Poder Judiciário </t>
  </si>
  <si>
    <t>Ministério Público</t>
  </si>
  <si>
    <t>Defensoria Pública</t>
  </si>
  <si>
    <t>CONTROLE</t>
  </si>
  <si>
    <t>Motivo da não inclusão</t>
  </si>
  <si>
    <t>Caso em análise</t>
  </si>
  <si>
    <t>xxx</t>
  </si>
  <si>
    <t>Não voluntariedade</t>
  </si>
  <si>
    <t>Não verificação da ameaça de morte</t>
  </si>
  <si>
    <t>Não comparecimento do adolescente/Evasão</t>
  </si>
  <si>
    <t>Existência de meios convencionais de proteção</t>
  </si>
  <si>
    <t>Em cumprimento de medida socioeducativa em meio fechado</t>
  </si>
  <si>
    <t>Não prosseguimento dos trâmites por parte das Portas de Entrada</t>
  </si>
  <si>
    <t>Óbito</t>
  </si>
  <si>
    <t xml:space="preserve">Perfil da pesssoa protegida (somente criança/adolescente incluído)  </t>
  </si>
  <si>
    <t>Por Identidade de Gênero</t>
  </si>
  <si>
    <t>Informações sobre pessoas incluídas por mês (I)</t>
  </si>
  <si>
    <t>Feminino Cis</t>
  </si>
  <si>
    <t>Masculino Cis</t>
  </si>
  <si>
    <t>Feminino Trans ou Travesti</t>
  </si>
  <si>
    <t>Masculino Trans</t>
  </si>
  <si>
    <t>Não binário</t>
  </si>
  <si>
    <t>Outra</t>
  </si>
  <si>
    <t>Por Orientação Sexual</t>
  </si>
  <si>
    <t>Heterossexual</t>
  </si>
  <si>
    <t>Lésbica</t>
  </si>
  <si>
    <t>Gay</t>
  </si>
  <si>
    <t>Bissexual</t>
  </si>
  <si>
    <t>Não se aplica</t>
  </si>
  <si>
    <t>Não sabe/Não quis informar</t>
  </si>
  <si>
    <t>Não consta</t>
  </si>
  <si>
    <t>Outros</t>
  </si>
  <si>
    <t>Por Raça/Cor</t>
  </si>
  <si>
    <t>Branca</t>
  </si>
  <si>
    <t>Preta</t>
  </si>
  <si>
    <t>Parda</t>
  </si>
  <si>
    <t>Amarela</t>
  </si>
  <si>
    <t>Indígena</t>
  </si>
  <si>
    <t>Por Idade</t>
  </si>
  <si>
    <t>0-9 anos</t>
  </si>
  <si>
    <t>10 anos</t>
  </si>
  <si>
    <t>11 anos</t>
  </si>
  <si>
    <t>12 anos</t>
  </si>
  <si>
    <t>13 anos</t>
  </si>
  <si>
    <t>14 anos</t>
  </si>
  <si>
    <t>15 anos</t>
  </si>
  <si>
    <t>16 anos</t>
  </si>
  <si>
    <t>17 anos</t>
  </si>
  <si>
    <t>18 anos</t>
  </si>
  <si>
    <t>19 anos</t>
  </si>
  <si>
    <t>20 anos</t>
  </si>
  <si>
    <t>21 anos</t>
  </si>
  <si>
    <t>Pessoa com Deficiência</t>
  </si>
  <si>
    <t>Física</t>
  </si>
  <si>
    <t>Sensorial</t>
  </si>
  <si>
    <t>Intelectual</t>
  </si>
  <si>
    <t>Múltiplas</t>
  </si>
  <si>
    <t>Sem deficiência</t>
  </si>
  <si>
    <t>Por Escolaridade</t>
  </si>
  <si>
    <t>Não alfabetizado</t>
  </si>
  <si>
    <t>1° ano completo do ensino fundamental</t>
  </si>
  <si>
    <t>2° ano completo do ensino fundamental</t>
  </si>
  <si>
    <t>3° ano completo do ensino fundamental</t>
  </si>
  <si>
    <t>4° ano completo do ensino fundamental</t>
  </si>
  <si>
    <t>5° ano completo do ensino fundamental</t>
  </si>
  <si>
    <t>6° ano completo do ensino fundamental</t>
  </si>
  <si>
    <t>7° ano completo do ensino fundamental</t>
  </si>
  <si>
    <t>8° ano completo do ensino fundamental</t>
  </si>
  <si>
    <t>9° ano completo do ensino fundamental</t>
  </si>
  <si>
    <t>1° ano completo do ensino médio</t>
  </si>
  <si>
    <t>2° ano completo do ensino médio</t>
  </si>
  <si>
    <t>3° ano completo do ensino médio</t>
  </si>
  <si>
    <t>Ensino Superior Incompleto</t>
  </si>
  <si>
    <t>Ensino Superior Completo</t>
  </si>
  <si>
    <t>Educação de Jovens e Adultos</t>
  </si>
  <si>
    <t>Para o caso de pessoas que estão cursando o EJA, favor marcar a série completa correspondente e registrar no campo abaixo o quantitativo de pessoas incluídas no mês que estão cursando o EJA.</t>
  </si>
  <si>
    <t>Por Local de ameaça</t>
  </si>
  <si>
    <t>Capital</t>
  </si>
  <si>
    <t xml:space="preserve">Região metropolitana </t>
  </si>
  <si>
    <t>Interior do Estado</t>
  </si>
  <si>
    <t>Outros Estados</t>
  </si>
  <si>
    <t>Por Motivo da ameaça</t>
  </si>
  <si>
    <t>Abrangência do tráfico</t>
  </si>
  <si>
    <t>Violência doméstica</t>
  </si>
  <si>
    <t>Ameaça Policial</t>
  </si>
  <si>
    <t>Condição de Testemunha</t>
  </si>
  <si>
    <t>Condenados/as por organização criminosa</t>
  </si>
  <si>
    <t>Vítima de violência sexual</t>
  </si>
  <si>
    <t>Intolerância Religiosa</t>
  </si>
  <si>
    <t>Conflito Intrafamiliar</t>
  </si>
  <si>
    <t>Por cometimento (ou suposto cometimento) de ato infracional análogo a crimes</t>
  </si>
  <si>
    <t>Outros (especificar)</t>
  </si>
  <si>
    <t>Múltiplas Ameaças</t>
  </si>
  <si>
    <t>Especifique quais (Outros):</t>
  </si>
  <si>
    <t>Desejo de abandonar o tráfico</t>
  </si>
  <si>
    <t>Queima de Arquivo</t>
  </si>
  <si>
    <t>Disputa de Facções</t>
  </si>
  <si>
    <t>Condenados/as pelo tráfico</t>
  </si>
  <si>
    <t>Envolvimento afetivo/sexual</t>
  </si>
  <si>
    <t>Delação</t>
  </si>
  <si>
    <t>Dívidas por consumo de drogas</t>
  </si>
  <si>
    <t>Dívidas e conflitos a partir do trabalho no tráfico</t>
  </si>
  <si>
    <t>Múltiplas Ameaças relacionadas à Abrangência do Tráfico</t>
  </si>
  <si>
    <r>
      <rPr>
        <sz val="8"/>
        <rFont val="Arial"/>
        <family val="2"/>
      </rPr>
      <t xml:space="preserve">Para os casos de múltiplas ameaças relacionadas à Abrangência do tráfico, favor registrar, usando as categorias existentes para Abrangência do tráfico, quais foram as ameaças observadas. Por exemplo, o estado XX teve 3 casos de ameaças múltiplas relacionadas a abrangência do tráfico, o campo deve ser preenchido da seguinte forma: </t>
    </r>
    <r>
      <rPr>
        <b/>
        <sz val="8"/>
        <rFont val="Arial"/>
        <family val="2"/>
      </rPr>
      <t>[1]</t>
    </r>
    <r>
      <rPr>
        <sz val="8"/>
        <rFont val="Arial"/>
        <family val="2"/>
      </rPr>
      <t xml:space="preserve"> </t>
    </r>
    <r>
      <rPr>
        <b/>
        <sz val="8"/>
        <rFont val="Arial"/>
        <family val="2"/>
      </rPr>
      <t>Desejo de abandonar o tráfico e disputa de facções; [2] Condenado/as pelo tráfico e Delação; e [3] Dívidas por consumo de drogas e Delação.</t>
    </r>
  </si>
  <si>
    <t>Abuso sexual</t>
  </si>
  <si>
    <t>Exploração sexual</t>
  </si>
  <si>
    <t>Por cometimento (ou suposto cometimento) de ato infracional análogo aos seguintes crimes</t>
  </si>
  <si>
    <t>Homicídio</t>
  </si>
  <si>
    <t>Feminicídio</t>
  </si>
  <si>
    <t>Crimes sexuais</t>
  </si>
  <si>
    <t>Latrocínio</t>
  </si>
  <si>
    <t>Roubo</t>
  </si>
  <si>
    <t>Furto</t>
  </si>
  <si>
    <r>
      <t xml:space="preserve">Para os casos de múltiplas ameaças, favor registrar, usando as categorias existentes para Motivos da Ameaça, quais foram as ameaças observadas. Por exemplo, o estado XX teve 3 casos de ameaças múltiplas, o campo deve ser preenchido da seguinte forma: </t>
    </r>
    <r>
      <rPr>
        <b/>
        <sz val="10"/>
        <rFont val="Arial"/>
        <family val="2"/>
      </rPr>
      <t>[1]</t>
    </r>
    <r>
      <rPr>
        <sz val="10"/>
        <rFont val="Arial"/>
        <family val="2"/>
      </rPr>
      <t xml:space="preserve"> </t>
    </r>
    <r>
      <rPr>
        <b/>
        <sz val="10"/>
        <rFont val="Arial"/>
        <family val="2"/>
      </rPr>
      <t>Ameaça Policial e Abrangência do Tráfico (Delação); [2] Abrangência do Tráfico (dívidas por consumo de drogas) e Condenados por Organização Criminosa; e [3] Ameaça Policial e Violência Doméstica.</t>
    </r>
  </si>
  <si>
    <t>Por Referência familiar</t>
  </si>
  <si>
    <t>Mãe</t>
  </si>
  <si>
    <t>Pai</t>
  </si>
  <si>
    <t>Avó/Avô</t>
  </si>
  <si>
    <t>Tia/Tio</t>
  </si>
  <si>
    <t>Irmã/Irmão</t>
  </si>
  <si>
    <t>Sem referência familiar</t>
  </si>
  <si>
    <t>Mãe e Pai</t>
  </si>
  <si>
    <t>Cônjuge / Companheira(o)</t>
  </si>
  <si>
    <t>Por Renda Familiar</t>
  </si>
  <si>
    <t>Sem Renda</t>
  </si>
  <si>
    <t>até 1/4 SM</t>
  </si>
  <si>
    <t>Mais que 1/4 até 1/2 SM</t>
  </si>
  <si>
    <t>Mais que 1/2 até 1 SM</t>
  </si>
  <si>
    <t>Mais que 1 até 2 SM</t>
  </si>
  <si>
    <t>Mais que 2 até 3 SM</t>
  </si>
  <si>
    <t>Mais que 3 até 5 SM</t>
  </si>
  <si>
    <t>Acima de 5 SM</t>
  </si>
  <si>
    <t>Não sabe/Não foi informado</t>
  </si>
  <si>
    <t>Por Modalidade de Inclusão</t>
  </si>
  <si>
    <t>Com responsável legal</t>
  </si>
  <si>
    <t>Sem responsável legal, mas com autorização judicial</t>
  </si>
  <si>
    <t>Jovem egresso do sistema socioeducativo entre 18 e 21 anos</t>
  </si>
  <si>
    <t>Por Modalidade de proteção</t>
  </si>
  <si>
    <t>Acolhimento institucional</t>
  </si>
  <si>
    <t>Familiar</t>
  </si>
  <si>
    <t>Moradia Independente (a partir de 18 anos)</t>
  </si>
  <si>
    <t>Família Solidária</t>
  </si>
  <si>
    <t>Acolhimento Residencial Familiar</t>
  </si>
  <si>
    <t>Apoio à inserção social (Acolhimento Institucional)</t>
  </si>
  <si>
    <t>Apoio à inserção social (Moradia Independente)</t>
  </si>
  <si>
    <t>Apoio à inserção social (Proteção Familiar)</t>
  </si>
  <si>
    <t>Desligamento</t>
  </si>
  <si>
    <t>Motivo do desligamento</t>
  </si>
  <si>
    <t>Informações sobre as pessoas protegidas e já desligadas por mês</t>
  </si>
  <si>
    <t>Solicitação da pessoa protegida</t>
  </si>
  <si>
    <t>Consolidação da inserção social segura</t>
  </si>
  <si>
    <t>Descumprimento das regras de proteção</t>
  </si>
  <si>
    <t>Ordem judicial</t>
  </si>
  <si>
    <t>Transferência enviada</t>
  </si>
  <si>
    <t>Agressão física a terceiros</t>
  </si>
  <si>
    <t>Grave ameaça a profissional do Programa</t>
  </si>
  <si>
    <t>Evasão comprovadamente intencional</t>
  </si>
  <si>
    <t>Retorno ao local de risco</t>
  </si>
  <si>
    <t>Cometimento de ato infracional ou crime durante a proteção</t>
  </si>
  <si>
    <t>Decisão judicial de medida socioeducativa de privação de liberdade</t>
  </si>
  <si>
    <t>Especifique quais:</t>
  </si>
  <si>
    <t>Tempo de permanência no programa</t>
  </si>
  <si>
    <t>TOTAL</t>
  </si>
  <si>
    <t>Até 1 mês</t>
  </si>
  <si>
    <t>Mais que 1 mês até 6 meses</t>
  </si>
  <si>
    <t>Mais que 6 meses até 1 ano</t>
  </si>
  <si>
    <t>Mais que 1 ano até 1 ano e 6 meses</t>
  </si>
  <si>
    <t>Mais que 1 ano e 6 meses até 2 anos</t>
  </si>
  <si>
    <t>Mais que 2 anos</t>
  </si>
  <si>
    <t>No ato do desligamento, a pessoa protegida retornou ao local de risco?</t>
  </si>
  <si>
    <t>Sim</t>
  </si>
  <si>
    <t>Não</t>
  </si>
  <si>
    <t>Comentários Adicionais</t>
  </si>
  <si>
    <t>Maranhão</t>
  </si>
  <si>
    <t>Laura Lima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</si>
</sst>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0.00_);_([$€-2]* \(#,##0.00\);_([$€-2]* &quot;-&quot;??_)"/>
  </numFmts>
  <fonts count="45" x14ac:knownFonts="1">
    <font>
      <sz val="10"/>
      <name val="Arial"/>
    </font>
    <font>
      <sz val="10"/>
      <name val="Arial"/>
      <family val="2"/>
    </font>
    <font>
      <b/>
      <sz val="11"/>
      <color indexed="8"/>
      <name val="Calibri"/>
      <family val="2"/>
    </font>
    <font>
      <sz val="8"/>
      <name val="Arial"/>
      <family val="2"/>
    </font>
    <font>
      <sz val="10"/>
      <name val="Arial"/>
      <family val="2"/>
    </font>
    <font>
      <sz val="10"/>
      <color indexed="10"/>
      <name val="Arial"/>
      <family val="2"/>
    </font>
    <font>
      <sz val="8"/>
      <color indexed="81"/>
      <name val="Tahoma"/>
      <family val="2"/>
    </font>
    <font>
      <b/>
      <sz val="10"/>
      <color indexed="10"/>
      <name val="Tahoma"/>
      <family val="2"/>
    </font>
    <font>
      <sz val="10"/>
      <name val="Tahoma"/>
      <family val="2"/>
    </font>
    <font>
      <sz val="10"/>
      <color indexed="8"/>
      <name val="Tahoma"/>
      <family val="2"/>
    </font>
    <font>
      <b/>
      <sz val="10"/>
      <color indexed="12"/>
      <name val="Tahoma"/>
      <family val="2"/>
    </font>
    <font>
      <b/>
      <sz val="10"/>
      <name val="Tahoma"/>
      <family val="2"/>
    </font>
    <font>
      <b/>
      <sz val="10"/>
      <color indexed="8"/>
      <name val="Tahoma"/>
      <family val="2"/>
    </font>
    <font>
      <b/>
      <sz val="14"/>
      <color indexed="10"/>
      <name val="Tahoma"/>
      <family val="2"/>
    </font>
    <font>
      <b/>
      <sz val="8"/>
      <name val="Tahoma"/>
      <family val="2"/>
    </font>
    <font>
      <sz val="8"/>
      <name val="Tahoma"/>
      <family val="2"/>
    </font>
    <font>
      <sz val="8"/>
      <color indexed="8"/>
      <name val="Tahoma"/>
      <family val="2"/>
    </font>
    <font>
      <b/>
      <u/>
      <sz val="12"/>
      <color indexed="12"/>
      <name val="Tahoma"/>
      <family val="2"/>
    </font>
    <font>
      <u/>
      <sz val="11"/>
      <color indexed="12"/>
      <name val="Tahoma"/>
      <family val="2"/>
    </font>
    <font>
      <b/>
      <sz val="10"/>
      <color indexed="60"/>
      <name val="Tahoma"/>
      <family val="2"/>
    </font>
    <font>
      <b/>
      <sz val="8"/>
      <color indexed="8"/>
      <name val="Tahoma"/>
      <family val="2"/>
    </font>
    <font>
      <u/>
      <sz val="11"/>
      <color indexed="62"/>
      <name val="Tahoma"/>
      <family val="2"/>
    </font>
    <font>
      <b/>
      <u/>
      <sz val="11"/>
      <color indexed="12"/>
      <name val="Tahoma"/>
      <family val="2"/>
    </font>
    <font>
      <b/>
      <sz val="10"/>
      <color indexed="81"/>
      <name val="Tahoma"/>
      <family val="2"/>
    </font>
    <font>
      <sz val="11"/>
      <name val="Tahoma"/>
      <family val="2"/>
    </font>
    <font>
      <b/>
      <sz val="14"/>
      <name val="Tahoma"/>
      <family val="2"/>
    </font>
    <font>
      <b/>
      <sz val="11"/>
      <name val="Tahoma"/>
      <family val="2"/>
    </font>
    <font>
      <b/>
      <u/>
      <sz val="12"/>
      <name val="Tahoma"/>
      <family val="2"/>
    </font>
    <font>
      <b/>
      <sz val="9"/>
      <color indexed="12"/>
      <name val="Tahoma"/>
      <family val="2"/>
    </font>
    <font>
      <b/>
      <sz val="9"/>
      <color indexed="10"/>
      <name val="Tahoma"/>
      <family val="2"/>
    </font>
    <font>
      <u/>
      <sz val="11"/>
      <color indexed="30"/>
      <name val="Tahoma"/>
      <family val="2"/>
    </font>
    <font>
      <b/>
      <sz val="10"/>
      <color indexed="13"/>
      <name val="Tahoma"/>
      <family val="2"/>
    </font>
    <font>
      <sz val="9"/>
      <name val="Tahoma"/>
      <family val="2"/>
    </font>
    <font>
      <b/>
      <sz val="10"/>
      <color indexed="62"/>
      <name val="Tahoma"/>
      <family val="2"/>
    </font>
    <font>
      <b/>
      <sz val="8"/>
      <color indexed="81"/>
      <name val="Tahoma"/>
      <family val="2"/>
    </font>
    <font>
      <sz val="12"/>
      <name val="Tahoma"/>
      <family val="2"/>
    </font>
    <font>
      <b/>
      <sz val="9"/>
      <color rgb="FFFF0000"/>
      <name val="Tahoma"/>
      <family val="2"/>
    </font>
    <font>
      <sz val="7.5"/>
      <color indexed="8"/>
      <name val="Tahoma"/>
      <family val="2"/>
    </font>
    <font>
      <sz val="9"/>
      <color indexed="81"/>
      <name val="Tahoma"/>
      <family val="2"/>
    </font>
    <font>
      <b/>
      <sz val="9"/>
      <color indexed="81"/>
      <name val="Tahoma"/>
      <family val="2"/>
    </font>
    <font>
      <sz val="9"/>
      <color indexed="81"/>
      <name val="Segoe UI"/>
      <charset val="1"/>
    </font>
    <font>
      <sz val="9"/>
      <color indexed="81"/>
      <name val="Segoe UI"/>
      <family val="2"/>
    </font>
    <font>
      <b/>
      <sz val="10"/>
      <name val="Arial"/>
      <family val="2"/>
    </font>
    <font>
      <u/>
      <sz val="11"/>
      <color rgb="FF0000D4"/>
      <name val="Tahoma"/>
      <family val="2"/>
    </font>
    <font>
      <b/>
      <sz val="8"/>
      <name val="Arial"/>
      <family val="2"/>
    </font>
  </fonts>
  <fills count="12">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13"/>
        <bgColor indexed="3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7" tint="0.79998168889431442"/>
        <bgColor indexed="64"/>
      </patternFill>
    </fill>
  </fills>
  <borders count="19">
    <border>
      <left/>
      <right/>
      <top/>
      <bottom/>
      <diagonal/>
    </border>
    <border>
      <left/>
      <right/>
      <top style="thin">
        <color indexed="62"/>
      </top>
      <bottom style="double">
        <color indexed="62"/>
      </bottom>
      <diagonal/>
    </border>
    <border>
      <left style="thin">
        <color indexed="64"/>
      </left>
      <right/>
      <top/>
      <bottom/>
      <diagonal/>
    </border>
    <border>
      <left/>
      <right/>
      <top style="thin">
        <color indexed="64"/>
      </top>
      <bottom style="medium">
        <color indexed="64"/>
      </bottom>
      <diagonal/>
    </border>
    <border>
      <left/>
      <right/>
      <top style="medium">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164" fontId="1" fillId="0" borderId="0" applyFont="0" applyFill="0" applyBorder="0" applyAlignment="0" applyProtection="0"/>
    <xf numFmtId="0" fontId="2" fillId="0" borderId="1" applyNumberFormat="0" applyFill="0" applyAlignment="0" applyProtection="0"/>
  </cellStyleXfs>
  <cellXfs count="129">
    <xf numFmtId="0" fontId="0" fillId="0" borderId="0" xfId="0"/>
    <xf numFmtId="0" fontId="4" fillId="0" borderId="0" xfId="0" applyFont="1"/>
    <xf numFmtId="0" fontId="5" fillId="0" borderId="0" xfId="0" applyFont="1"/>
    <xf numFmtId="0" fontId="8" fillId="0" borderId="0" xfId="0" applyFont="1"/>
    <xf numFmtId="0" fontId="8" fillId="0" borderId="2" xfId="0" applyFont="1" applyBorder="1"/>
    <xf numFmtId="0" fontId="9" fillId="0" borderId="0" xfId="0" applyFont="1"/>
    <xf numFmtId="0" fontId="0" fillId="0" borderId="0" xfId="0" applyAlignment="1">
      <alignment vertical="center"/>
    </xf>
    <xf numFmtId="0" fontId="8"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vertical="center"/>
    </xf>
    <xf numFmtId="0" fontId="11" fillId="0" borderId="0" xfId="0" applyFont="1" applyAlignment="1">
      <alignment vertical="center"/>
    </xf>
    <xf numFmtId="0" fontId="13" fillId="0" borderId="0" xfId="0" applyFont="1" applyAlignment="1">
      <alignment vertical="center"/>
    </xf>
    <xf numFmtId="0" fontId="8" fillId="0" borderId="0" xfId="0" applyFont="1" applyAlignment="1">
      <alignment vertical="center"/>
    </xf>
    <xf numFmtId="0" fontId="8" fillId="2" borderId="0" xfId="0" applyFont="1" applyFill="1" applyAlignment="1">
      <alignment horizontal="center" vertical="center"/>
    </xf>
    <xf numFmtId="0" fontId="13" fillId="0" borderId="0" xfId="0" applyFont="1" applyAlignment="1">
      <alignment horizontal="center" vertical="center"/>
    </xf>
    <xf numFmtId="0" fontId="20" fillId="0" borderId="4" xfId="0" applyFont="1" applyBorder="1" applyAlignment="1">
      <alignment horizontal="center" vertical="center"/>
    </xf>
    <xf numFmtId="0" fontId="18" fillId="0" borderId="0" xfId="0" applyFont="1" applyAlignment="1">
      <alignment horizontal="center"/>
    </xf>
    <xf numFmtId="0" fontId="9" fillId="0" borderId="0" xfId="0" applyFont="1" applyAlignment="1">
      <alignment horizontal="justify"/>
    </xf>
    <xf numFmtId="0" fontId="9" fillId="3" borderId="3" xfId="0" applyFont="1" applyFill="1" applyBorder="1"/>
    <xf numFmtId="0" fontId="11" fillId="0" borderId="0" xfId="0" applyFont="1"/>
    <xf numFmtId="0" fontId="11" fillId="4" borderId="3" xfId="0" applyFont="1" applyFill="1" applyBorder="1" applyAlignment="1">
      <alignment horizontal="right"/>
    </xf>
    <xf numFmtId="0" fontId="11" fillId="4" borderId="3" xfId="0" applyFont="1" applyFill="1" applyBorder="1" applyAlignment="1">
      <alignment horizontal="center" vertical="center"/>
    </xf>
    <xf numFmtId="0" fontId="20" fillId="0" borderId="5" xfId="0" applyFont="1" applyBorder="1" applyAlignment="1">
      <alignment horizontal="center" vertical="center"/>
    </xf>
    <xf numFmtId="0" fontId="12" fillId="4" borderId="3" xfId="0" applyFont="1" applyFill="1" applyBorder="1" applyAlignment="1">
      <alignment horizontal="right"/>
    </xf>
    <xf numFmtId="0" fontId="14" fillId="0" borderId="4" xfId="0" applyFont="1" applyBorder="1" applyAlignment="1">
      <alignment horizontal="center" vertical="center"/>
    </xf>
    <xf numFmtId="17" fontId="14" fillId="0" borderId="4" xfId="0" applyNumberFormat="1" applyFont="1" applyBorder="1" applyAlignment="1">
      <alignment horizontal="center" vertical="center"/>
    </xf>
    <xf numFmtId="0" fontId="11" fillId="3" borderId="3" xfId="0" applyFont="1" applyFill="1" applyBorder="1" applyAlignment="1">
      <alignment horizontal="center" vertical="center"/>
    </xf>
    <xf numFmtId="0" fontId="8" fillId="0" borderId="0" xfId="0" applyFont="1" applyAlignment="1">
      <alignment horizontal="left"/>
    </xf>
    <xf numFmtId="0" fontId="14" fillId="0" borderId="5" xfId="0" applyFont="1" applyBorder="1" applyAlignment="1">
      <alignment horizontal="center" vertical="center"/>
    </xf>
    <xf numFmtId="17" fontId="14" fillId="0" borderId="5" xfId="0" applyNumberFormat="1" applyFont="1" applyBorder="1" applyAlignment="1">
      <alignment horizontal="center" vertical="center"/>
    </xf>
    <xf numFmtId="0" fontId="8" fillId="0" borderId="0" xfId="0" applyFont="1" applyAlignment="1">
      <alignment vertical="top"/>
    </xf>
    <xf numFmtId="0" fontId="10" fillId="0" borderId="0" xfId="0" applyFont="1"/>
    <xf numFmtId="0" fontId="28" fillId="0" borderId="0" xfId="0" applyFont="1" applyAlignment="1">
      <alignment horizontal="center" vertical="center"/>
    </xf>
    <xf numFmtId="0" fontId="28" fillId="0" borderId="4" xfId="0" applyFont="1" applyBorder="1" applyAlignment="1">
      <alignment horizontal="center" vertical="center"/>
    </xf>
    <xf numFmtId="0" fontId="29" fillId="5" borderId="3" xfId="0" applyFont="1" applyFill="1" applyBorder="1" applyAlignment="1">
      <alignment horizontal="center" vertical="center"/>
    </xf>
    <xf numFmtId="0" fontId="28" fillId="0" borderId="5" xfId="0" applyFont="1" applyBorder="1" applyAlignment="1">
      <alignment horizontal="center" vertical="center"/>
    </xf>
    <xf numFmtId="0" fontId="8" fillId="0" borderId="0" xfId="0" applyFont="1" applyAlignment="1">
      <alignment horizontal="right" vertical="top"/>
    </xf>
    <xf numFmtId="0" fontId="12" fillId="3" borderId="3" xfId="0" applyFont="1" applyFill="1" applyBorder="1" applyAlignment="1">
      <alignment horizontal="right"/>
    </xf>
    <xf numFmtId="0" fontId="12" fillId="0" borderId="0" xfId="0" applyFont="1" applyAlignment="1">
      <alignment horizontal="center"/>
    </xf>
    <xf numFmtId="0" fontId="11" fillId="0" borderId="0" xfId="0" applyFont="1" applyAlignment="1">
      <alignment horizontal="center"/>
    </xf>
    <xf numFmtId="0" fontId="33" fillId="4" borderId="3" xfId="0" applyFont="1" applyFill="1" applyBorder="1" applyAlignment="1">
      <alignment horizontal="center" vertical="center"/>
    </xf>
    <xf numFmtId="0" fontId="12" fillId="3" borderId="7" xfId="0" applyFont="1" applyFill="1" applyBorder="1" applyAlignment="1">
      <alignment horizontal="left"/>
    </xf>
    <xf numFmtId="0" fontId="12" fillId="4" borderId="3" xfId="0" applyFont="1" applyFill="1" applyBorder="1" applyAlignment="1">
      <alignment horizontal="center" vertical="center"/>
    </xf>
    <xf numFmtId="0" fontId="32" fillId="0" borderId="0" xfId="0" applyFont="1" applyAlignment="1">
      <alignment vertical="center"/>
    </xf>
    <xf numFmtId="0" fontId="9" fillId="0" borderId="0" xfId="0" applyFont="1" applyAlignment="1">
      <alignment horizontal="right"/>
    </xf>
    <xf numFmtId="0" fontId="8" fillId="6" borderId="0" xfId="0" applyFont="1" applyFill="1" applyAlignment="1" applyProtection="1">
      <alignment horizontal="center" vertical="center"/>
      <protection locked="0"/>
    </xf>
    <xf numFmtId="0" fontId="32" fillId="0" borderId="0" xfId="0" applyFont="1" applyAlignment="1">
      <alignment horizontal="left" vertical="center"/>
    </xf>
    <xf numFmtId="0" fontId="32" fillId="0" borderId="5" xfId="0" applyFont="1" applyBorder="1" applyAlignment="1">
      <alignment horizontal="left" vertical="center"/>
    </xf>
    <xf numFmtId="0" fontId="0" fillId="0" borderId="5" xfId="0" applyBorder="1" applyAlignment="1">
      <alignment vertical="center"/>
    </xf>
    <xf numFmtId="0" fontId="8" fillId="6" borderId="8" xfId="0" applyFont="1" applyFill="1" applyBorder="1" applyAlignment="1" applyProtection="1">
      <alignment horizontal="center"/>
      <protection locked="0"/>
    </xf>
    <xf numFmtId="0" fontId="8" fillId="7" borderId="0" xfId="0" applyFont="1" applyFill="1" applyAlignment="1" applyProtection="1">
      <alignment horizontal="center" vertical="center"/>
      <protection locked="0"/>
    </xf>
    <xf numFmtId="0" fontId="9" fillId="7"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9" fillId="6" borderId="6" xfId="0" applyFont="1" applyFill="1" applyBorder="1" applyAlignment="1" applyProtection="1">
      <alignment horizontal="center" vertical="center"/>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wrapText="1"/>
      <protection locked="0"/>
    </xf>
    <xf numFmtId="0" fontId="28" fillId="2" borderId="0" xfId="0" applyFont="1" applyFill="1" applyAlignment="1">
      <alignment horizontal="center" vertical="center"/>
    </xf>
    <xf numFmtId="0" fontId="0" fillId="2" borderId="0" xfId="0" applyFill="1"/>
    <xf numFmtId="0" fontId="19" fillId="0" borderId="12" xfId="0" applyFont="1" applyBorder="1" applyAlignment="1">
      <alignment horizontal="center" vertical="center"/>
    </xf>
    <xf numFmtId="0" fontId="8" fillId="6" borderId="11" xfId="0" applyFont="1" applyFill="1" applyBorder="1" applyAlignment="1" applyProtection="1">
      <alignment horizontal="center" vertical="center"/>
      <protection locked="0"/>
    </xf>
    <xf numFmtId="0" fontId="8" fillId="7" borderId="11" xfId="0" applyFont="1" applyFill="1" applyBorder="1" applyAlignment="1" applyProtection="1">
      <alignment horizontal="center" vertical="center"/>
      <protection locked="0"/>
    </xf>
    <xf numFmtId="0" fontId="9" fillId="7" borderId="11" xfId="0" applyFont="1" applyFill="1" applyBorder="1" applyAlignment="1" applyProtection="1">
      <alignment horizontal="center" vertical="center"/>
      <protection locked="0"/>
    </xf>
    <xf numFmtId="0" fontId="8" fillId="6" borderId="0" xfId="0" applyFont="1" applyFill="1" applyAlignment="1" applyProtection="1">
      <alignment horizontal="center"/>
      <protection locked="0"/>
    </xf>
    <xf numFmtId="0" fontId="8" fillId="9" borderId="0" xfId="0" applyFont="1" applyFill="1"/>
    <xf numFmtId="0" fontId="36" fillId="5" borderId="3" xfId="0" applyFont="1" applyFill="1" applyBorder="1" applyAlignment="1">
      <alignment horizontal="center" vertical="center"/>
    </xf>
    <xf numFmtId="0" fontId="8" fillId="8" borderId="0" xfId="0" applyFont="1" applyFill="1" applyAlignment="1">
      <alignment horizontal="center" vertical="center"/>
    </xf>
    <xf numFmtId="0" fontId="1" fillId="0" borderId="0" xfId="0" applyFont="1"/>
    <xf numFmtId="0" fontId="16" fillId="6" borderId="0" xfId="0" applyFont="1" applyFill="1" applyAlignment="1" applyProtection="1">
      <alignment horizontal="center" vertical="center"/>
      <protection locked="0"/>
    </xf>
    <xf numFmtId="0" fontId="9" fillId="9" borderId="0" xfId="0" applyFont="1" applyFill="1"/>
    <xf numFmtId="0" fontId="15" fillId="6" borderId="0" xfId="0" applyFont="1" applyFill="1" applyAlignment="1" applyProtection="1">
      <alignment horizontal="center" vertical="center" wrapText="1"/>
      <protection locked="0"/>
    </xf>
    <xf numFmtId="0" fontId="37" fillId="7" borderId="0" xfId="0" applyFont="1" applyFill="1" applyAlignment="1" applyProtection="1">
      <alignment horizontal="center" vertical="center" wrapText="1"/>
      <protection locked="0"/>
    </xf>
    <xf numFmtId="0" fontId="14" fillId="6" borderId="0" xfId="0" applyFont="1" applyFill="1" applyAlignment="1" applyProtection="1">
      <alignment horizontal="center" vertical="center" wrapText="1"/>
      <protection locked="0"/>
    </xf>
    <xf numFmtId="0" fontId="16" fillId="7" borderId="0" xfId="0" applyFont="1" applyFill="1" applyAlignment="1" applyProtection="1">
      <alignment horizontal="center" vertical="center" wrapText="1"/>
      <protection locked="0"/>
    </xf>
    <xf numFmtId="0" fontId="15" fillId="7" borderId="0" xfId="0" applyFont="1" applyFill="1" applyAlignment="1" applyProtection="1">
      <alignment horizontal="center" vertical="center" wrapText="1"/>
      <protection locked="0"/>
    </xf>
    <xf numFmtId="0" fontId="9" fillId="9" borderId="0" xfId="0" applyFont="1" applyFill="1" applyAlignment="1">
      <alignment wrapText="1"/>
    </xf>
    <xf numFmtId="0" fontId="8" fillId="0" borderId="0" xfId="0" applyFont="1" applyAlignment="1" applyProtection="1">
      <alignment horizontal="center" vertical="center"/>
      <protection locked="0"/>
    </xf>
    <xf numFmtId="0" fontId="11" fillId="4" borderId="11" xfId="0" applyFont="1" applyFill="1" applyBorder="1" applyAlignment="1">
      <alignment horizontal="right"/>
    </xf>
    <xf numFmtId="0" fontId="11" fillId="4" borderId="11" xfId="0" applyFont="1" applyFill="1" applyBorder="1" applyAlignment="1">
      <alignment horizontal="center" vertical="center"/>
    </xf>
    <xf numFmtId="0" fontId="36" fillId="5" borderId="11" xfId="0" applyFont="1" applyFill="1" applyBorder="1" applyAlignment="1">
      <alignment horizontal="center" vertical="center"/>
    </xf>
    <xf numFmtId="0" fontId="20" fillId="0" borderId="0" xfId="0" applyFont="1" applyAlignment="1">
      <alignment horizontal="center" vertical="center"/>
    </xf>
    <xf numFmtId="0" fontId="8" fillId="0" borderId="0" xfId="0" applyFont="1" applyAlignment="1">
      <alignment vertical="center" wrapText="1"/>
    </xf>
    <xf numFmtId="0" fontId="11" fillId="4" borderId="14" xfId="0" applyFont="1" applyFill="1" applyBorder="1" applyAlignment="1">
      <alignment horizontal="right"/>
    </xf>
    <xf numFmtId="0" fontId="8" fillId="8" borderId="5" xfId="0" applyFont="1" applyFill="1" applyBorder="1" applyAlignment="1">
      <alignment horizontal="center" vertical="center"/>
    </xf>
    <xf numFmtId="0" fontId="8" fillId="6" borderId="5" xfId="0" applyFont="1" applyFill="1" applyBorder="1" applyAlignment="1" applyProtection="1">
      <alignment horizontal="center"/>
      <protection locked="0"/>
    </xf>
    <xf numFmtId="0" fontId="12" fillId="3" borderId="3" xfId="0" applyFont="1" applyFill="1" applyBorder="1"/>
    <xf numFmtId="0" fontId="19" fillId="0" borderId="12" xfId="0" applyFont="1" applyBorder="1" applyAlignment="1">
      <alignment horizontal="center" vertical="center"/>
    </xf>
    <xf numFmtId="0" fontId="18" fillId="0" borderId="13" xfId="0" applyFont="1" applyBorder="1" applyAlignment="1">
      <alignment horizontal="center"/>
    </xf>
    <xf numFmtId="0" fontId="1" fillId="11" borderId="12" xfId="0" applyFont="1" applyFill="1" applyBorder="1" applyAlignment="1">
      <alignment horizontal="center" wrapText="1"/>
    </xf>
    <xf numFmtId="0" fontId="0" fillId="11" borderId="12" xfId="0" applyFill="1" applyBorder="1" applyAlignment="1">
      <alignment horizontal="center" wrapText="1"/>
    </xf>
    <xf numFmtId="0" fontId="0" fillId="11" borderId="0" xfId="0" applyFill="1" applyAlignment="1">
      <alignment horizontal="center" wrapText="1"/>
    </xf>
    <xf numFmtId="0" fontId="0" fillId="8" borderId="0" xfId="0" applyFill="1" applyAlignment="1">
      <alignment horizontal="center"/>
    </xf>
    <xf numFmtId="0" fontId="9" fillId="6" borderId="0" xfId="0" applyFont="1" applyFill="1" applyAlignment="1" applyProtection="1">
      <alignment horizontal="center" vertical="center"/>
      <protection locked="0"/>
    </xf>
    <xf numFmtId="0" fontId="9" fillId="6" borderId="5" xfId="0" applyFont="1" applyFill="1" applyBorder="1" applyAlignment="1" applyProtection="1">
      <alignment horizontal="center" vertical="center"/>
      <protection locked="0"/>
    </xf>
    <xf numFmtId="0" fontId="19" fillId="0" borderId="0" xfId="0" applyFont="1" applyAlignment="1">
      <alignment horizontal="center" vertical="center"/>
    </xf>
    <xf numFmtId="0" fontId="21" fillId="0" borderId="13" xfId="0" applyFont="1" applyBorder="1" applyAlignment="1">
      <alignment horizontal="center"/>
    </xf>
    <xf numFmtId="0" fontId="3" fillId="11" borderId="12" xfId="0" applyFont="1" applyFill="1" applyBorder="1" applyAlignment="1">
      <alignment horizontal="center" wrapText="1"/>
    </xf>
    <xf numFmtId="0" fontId="0" fillId="8" borderId="0" xfId="0" applyFill="1"/>
    <xf numFmtId="0" fontId="0" fillId="0" borderId="0" xfId="0" applyAlignment="1">
      <alignment horizontal="center" vertical="center"/>
    </xf>
    <xf numFmtId="0" fontId="18" fillId="0" borderId="14" xfId="0" applyFont="1" applyBorder="1" applyAlignment="1">
      <alignment horizontal="center"/>
    </xf>
    <xf numFmtId="0" fontId="43" fillId="0" borderId="3" xfId="0" applyFont="1" applyBorder="1" applyAlignment="1">
      <alignment horizontal="center"/>
    </xf>
    <xf numFmtId="0" fontId="18" fillId="0" borderId="3" xfId="0" applyFont="1" applyBorder="1" applyAlignment="1">
      <alignment horizontal="center"/>
    </xf>
    <xf numFmtId="0" fontId="8" fillId="10" borderId="11" xfId="0" applyFont="1" applyFill="1" applyBorder="1" applyAlignment="1">
      <alignment horizontal="center"/>
    </xf>
    <xf numFmtId="0" fontId="25" fillId="10" borderId="0" xfId="0" applyFont="1" applyFill="1" applyAlignment="1">
      <alignment horizontal="center"/>
    </xf>
    <xf numFmtId="0" fontId="24" fillId="10" borderId="0" xfId="0" applyFont="1" applyFill="1" applyAlignment="1">
      <alignment horizontal="center"/>
    </xf>
    <xf numFmtId="0" fontId="8" fillId="10" borderId="14" xfId="0" applyFont="1" applyFill="1" applyBorder="1" applyAlignment="1">
      <alignment horizontal="center"/>
    </xf>
    <xf numFmtId="0" fontId="13" fillId="0" borderId="0" xfId="0" applyFont="1" applyAlignment="1">
      <alignment horizontal="center" vertical="center"/>
    </xf>
    <xf numFmtId="0" fontId="25" fillId="9" borderId="0" xfId="0" applyFont="1" applyFill="1" applyAlignment="1" applyProtection="1">
      <alignment horizontal="center" vertical="center"/>
      <protection locked="0"/>
    </xf>
    <xf numFmtId="0" fontId="31" fillId="0" borderId="0" xfId="0" applyFont="1" applyAlignment="1">
      <alignment horizontal="center" vertical="center" wrapText="1"/>
    </xf>
    <xf numFmtId="0" fontId="27" fillId="5" borderId="3" xfId="0" applyFont="1" applyFill="1" applyBorder="1" applyAlignment="1">
      <alignment horizontal="center" vertical="center"/>
    </xf>
    <xf numFmtId="0" fontId="11" fillId="6" borderId="0" xfId="0" applyFont="1" applyFill="1" applyAlignment="1" applyProtection="1">
      <alignment horizontal="center" vertical="center"/>
      <protection locked="0"/>
    </xf>
    <xf numFmtId="0" fontId="18" fillId="0" borderId="3" xfId="0" applyFont="1" applyBorder="1" applyAlignment="1">
      <alignment horizontal="center" vertical="center"/>
    </xf>
    <xf numFmtId="0" fontId="17" fillId="4" borderId="0" xfId="0" applyFont="1" applyFill="1" applyAlignment="1">
      <alignment horizontal="center" vertical="center"/>
    </xf>
    <xf numFmtId="0" fontId="17" fillId="4" borderId="7" xfId="0" applyFont="1" applyFill="1" applyBorder="1" applyAlignment="1">
      <alignment horizontal="center" vertical="center"/>
    </xf>
    <xf numFmtId="0" fontId="35" fillId="11" borderId="15" xfId="0" applyFont="1" applyFill="1" applyBorder="1" applyAlignment="1" applyProtection="1">
      <alignment horizontal="left" vertical="top" wrapText="1"/>
      <protection locked="0"/>
    </xf>
    <xf numFmtId="0" fontId="35" fillId="11" borderId="11" xfId="0" applyFont="1" applyFill="1" applyBorder="1" applyAlignment="1" applyProtection="1">
      <alignment horizontal="left" vertical="top" wrapText="1"/>
      <protection locked="0"/>
    </xf>
    <xf numFmtId="0" fontId="35" fillId="11" borderId="16" xfId="0" applyFont="1" applyFill="1" applyBorder="1" applyAlignment="1" applyProtection="1">
      <alignment horizontal="left" vertical="top" wrapText="1"/>
      <protection locked="0"/>
    </xf>
    <xf numFmtId="0" fontId="35" fillId="11" borderId="2" xfId="0" applyFont="1" applyFill="1" applyBorder="1" applyAlignment="1" applyProtection="1">
      <alignment horizontal="left" vertical="top" wrapText="1"/>
      <protection locked="0"/>
    </xf>
    <xf numFmtId="0" fontId="35" fillId="11" borderId="0" xfId="0" applyFont="1" applyFill="1" applyAlignment="1" applyProtection="1">
      <alignment horizontal="left" vertical="top" wrapText="1"/>
      <protection locked="0"/>
    </xf>
    <xf numFmtId="0" fontId="35" fillId="11" borderId="6" xfId="0" applyFont="1" applyFill="1" applyBorder="1" applyAlignment="1" applyProtection="1">
      <alignment horizontal="left" vertical="top" wrapText="1"/>
      <protection locked="0"/>
    </xf>
    <xf numFmtId="0" fontId="35" fillId="11" borderId="10" xfId="0" applyFont="1" applyFill="1" applyBorder="1" applyAlignment="1" applyProtection="1">
      <alignment horizontal="left" vertical="top" wrapText="1"/>
      <protection locked="0"/>
    </xf>
    <xf numFmtId="0" fontId="35" fillId="11" borderId="5" xfId="0" applyFont="1" applyFill="1" applyBorder="1" applyAlignment="1" applyProtection="1">
      <alignment horizontal="left" vertical="top" wrapText="1"/>
      <protection locked="0"/>
    </xf>
    <xf numFmtId="0" fontId="35" fillId="11" borderId="9" xfId="0" applyFont="1" applyFill="1" applyBorder="1" applyAlignment="1" applyProtection="1">
      <alignment horizontal="left" vertical="top" wrapText="1"/>
      <protection locked="0"/>
    </xf>
    <xf numFmtId="0" fontId="17" fillId="5" borderId="17" xfId="0" applyFont="1" applyFill="1" applyBorder="1" applyAlignment="1">
      <alignment horizontal="center" vertical="center"/>
    </xf>
    <xf numFmtId="0" fontId="17" fillId="5" borderId="4" xfId="0" applyFont="1" applyFill="1" applyBorder="1" applyAlignment="1">
      <alignment horizontal="center" vertical="center"/>
    </xf>
    <xf numFmtId="0" fontId="17" fillId="5" borderId="18" xfId="0" applyFont="1" applyFill="1" applyBorder="1" applyAlignment="1">
      <alignment horizontal="center" vertical="center"/>
    </xf>
    <xf numFmtId="0" fontId="30" fillId="0" borderId="13" xfId="0" applyFont="1" applyBorder="1" applyAlignment="1">
      <alignment horizontal="center" vertical="center"/>
    </xf>
    <xf numFmtId="0" fontId="22" fillId="0" borderId="3" xfId="0" applyFont="1" applyBorder="1" applyAlignment="1">
      <alignment horizontal="left" vertical="center" wrapText="1"/>
    </xf>
    <xf numFmtId="0" fontId="22" fillId="5" borderId="4" xfId="0" applyFont="1" applyFill="1" applyBorder="1" applyAlignment="1">
      <alignment horizontal="center" vertical="center"/>
    </xf>
  </cellXfs>
  <cellStyles count="3">
    <cellStyle name="Euro" xfId="1" xr:uid="{00000000-0005-0000-0000-000000000000}"/>
    <cellStyle name="Normal" xfId="0" builtinId="0"/>
    <cellStyle name="Total" xfId="2"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00"/>
      <color rgb="FF42F4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0</xdr:col>
      <xdr:colOff>6944</xdr:colOff>
      <xdr:row>7</xdr:row>
      <xdr:rowOff>189464</xdr:rowOff>
    </xdr:from>
    <xdr:to>
      <xdr:col>14</xdr:col>
      <xdr:colOff>580080</xdr:colOff>
      <xdr:row>11</xdr:row>
      <xdr:rowOff>311384</xdr:rowOff>
    </xdr:to>
    <xdr:sp macro="" textlink="">
      <xdr:nvSpPr>
        <xdr:cNvPr id="1529" name="CaixaDeTexto 2">
          <a:extLst>
            <a:ext uri="{FF2B5EF4-FFF2-40B4-BE49-F238E27FC236}">
              <a16:creationId xmlns:a16="http://schemas.microsoft.com/office/drawing/2014/main" id="{00000000-0008-0000-0000-0000F9050000}"/>
            </a:ext>
          </a:extLst>
        </xdr:cNvPr>
        <xdr:cNvSpPr txBox="1">
          <a:spLocks noChangeArrowheads="1"/>
        </xdr:cNvSpPr>
      </xdr:nvSpPr>
      <xdr:spPr bwMode="auto">
        <a:xfrm>
          <a:off x="6944" y="1514681"/>
          <a:ext cx="10553679" cy="1024725"/>
        </a:xfrm>
        <a:prstGeom prst="rect">
          <a:avLst/>
        </a:prstGeom>
        <a:solidFill>
          <a:srgbClr val="FFFFFF"/>
        </a:solidFill>
        <a:ln w="9525">
          <a:solidFill>
            <a:srgbClr val="BCBCBC"/>
          </a:solidFill>
          <a:miter lim="800000"/>
          <a:headEnd/>
          <a:tailEnd/>
        </a:ln>
      </xdr:spPr>
      <xdr:txBody>
        <a:bodyPr vertOverflow="clip" wrap="square" lIns="91440" tIns="45720" rIns="91440" bIns="45720" anchor="t" upright="1"/>
        <a:lstStyle/>
        <a:p>
          <a:pPr algn="l" rtl="1">
            <a:lnSpc>
              <a:spcPts val="1300"/>
            </a:lnSpc>
            <a:defRPr sz="1000"/>
          </a:pPr>
          <a:r>
            <a:rPr lang="pt-BR" sz="1100" b="1" i="0" strike="noStrike">
              <a:solidFill>
                <a:srgbClr val="FF0000"/>
              </a:solidFill>
              <a:latin typeface="Calibri"/>
            </a:rPr>
            <a:t>INSTRUÇÕES PARA PREENCHIMENTO DA</a:t>
          </a:r>
          <a:r>
            <a:rPr lang="pt-BR" sz="1100" b="1" i="0" strike="noStrike" baseline="0">
              <a:solidFill>
                <a:srgbClr val="FF0000"/>
              </a:solidFill>
              <a:latin typeface="Calibri"/>
            </a:rPr>
            <a:t> "PLANILHA AMARELA"</a:t>
          </a:r>
        </a:p>
        <a:p>
          <a:pPr algn="l" rtl="1">
            <a:lnSpc>
              <a:spcPts val="1300"/>
            </a:lnSpc>
            <a:defRPr sz="1000"/>
          </a:pPr>
          <a:r>
            <a:rPr lang="pt-BR" sz="1100" b="0" i="0" strike="noStrike">
              <a:solidFill>
                <a:srgbClr val="000000"/>
              </a:solidFill>
              <a:latin typeface="Calibri"/>
            </a:rPr>
            <a:t>1</a:t>
          </a:r>
          <a:r>
            <a:rPr lang="pt-BR" sz="1100" b="1" i="0" strike="noStrike">
              <a:solidFill>
                <a:srgbClr val="000000"/>
              </a:solidFill>
              <a:latin typeface="Calibri"/>
            </a:rPr>
            <a:t>) Preencha </a:t>
          </a:r>
          <a:r>
            <a:rPr lang="pt-BR" sz="1100" b="1" i="0" u="sng" strike="noStrike">
              <a:solidFill>
                <a:srgbClr val="000000"/>
              </a:solidFill>
              <a:latin typeface="Calibri"/>
            </a:rPr>
            <a:t>APENAS</a:t>
          </a:r>
          <a:r>
            <a:rPr lang="pt-BR" sz="1100" b="1" i="0" strike="noStrike">
              <a:solidFill>
                <a:srgbClr val="000000"/>
              </a:solidFill>
              <a:latin typeface="Calibri"/>
            </a:rPr>
            <a:t> as células que estão em amarelo. caso verifique algum erro durante o preenchimento, delete APENAS as células também marcadas em amarelo, pois as brancas contém fórmulas e se alterarão automaticamente.</a:t>
          </a:r>
          <a:endParaRPr lang="pt-BR" sz="1100" b="0" i="0" strike="noStrike">
            <a:solidFill>
              <a:srgbClr val="000000"/>
            </a:solidFill>
            <a:latin typeface="Calibri"/>
          </a:endParaRPr>
        </a:p>
        <a:p>
          <a:pPr algn="l" rtl="1">
            <a:lnSpc>
              <a:spcPts val="1200"/>
            </a:lnSpc>
            <a:defRPr sz="1000"/>
          </a:pPr>
          <a:r>
            <a:rPr lang="pt-BR" sz="1100" b="0" i="0" strike="noStrike">
              <a:solidFill>
                <a:srgbClr val="000000"/>
              </a:solidFill>
              <a:latin typeface="Calibri"/>
            </a:rPr>
            <a:t>2) No canto superior direito de algumas células existe um triângulo vermelho: trata-se, quando em negrito, de algum comentário que irá auxiliar no preenchimento ou da definição adotada</a:t>
          </a:r>
          <a:r>
            <a:rPr lang="pt-BR" sz="1100" b="0" i="0" strike="noStrike" baseline="0">
              <a:solidFill>
                <a:srgbClr val="000000"/>
              </a:solidFill>
              <a:latin typeface="Calibri"/>
            </a:rPr>
            <a:t> pelo Programa de alguma categoria</a:t>
          </a:r>
          <a:r>
            <a:rPr lang="pt-BR" sz="1100" b="0" i="0" strike="noStrike">
              <a:solidFill>
                <a:srgbClr val="000000"/>
              </a:solidFill>
              <a:latin typeface="Calibri"/>
            </a:rPr>
            <a:t>. Posicione o mouse sobre a célula e conseguirá ler o comentário.</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11"/>
  <sheetViews>
    <sheetView showGridLines="0" tabSelected="1" topLeftCell="A164" zoomScale="115" zoomScaleNormal="115" zoomScaleSheetLayoutView="68" workbookViewId="0">
      <selection activeCell="A167" sqref="A167"/>
    </sheetView>
  </sheetViews>
  <sheetFormatPr defaultColWidth="8.87890625" defaultRowHeight="12.7" x14ac:dyDescent="0.4"/>
  <cols>
    <col min="1" max="1" width="65.41015625" style="3" customWidth="1"/>
    <col min="2" max="2" width="8.87890625" style="3" customWidth="1"/>
    <col min="3" max="4" width="7.703125" style="9" customWidth="1"/>
    <col min="5" max="11" width="7.703125" style="7" customWidth="1"/>
    <col min="12" max="12" width="7.41015625" style="7" customWidth="1"/>
    <col min="13" max="14" width="7.703125" style="7" customWidth="1"/>
    <col min="15" max="15" width="10" style="33" bestFit="1" customWidth="1"/>
    <col min="17" max="17" width="68.29296875" bestFit="1" customWidth="1"/>
    <col min="18" max="18" width="5.87890625" bestFit="1" customWidth="1"/>
    <col min="19" max="30" width="7" bestFit="1" customWidth="1"/>
  </cols>
  <sheetData>
    <row r="1" spans="1:15" ht="15" customHeight="1" x14ac:dyDescent="0.4">
      <c r="A1" s="98" t="e" vm="1">
        <v>#VALUE!</v>
      </c>
      <c r="B1" s="47" t="s">
        <v>0</v>
      </c>
      <c r="C1" s="47"/>
      <c r="D1" s="6"/>
      <c r="E1" s="6"/>
      <c r="F1" s="44"/>
      <c r="G1" s="44"/>
    </row>
    <row r="2" spans="1:15" ht="15" customHeight="1" x14ac:dyDescent="0.4">
      <c r="A2" s="98"/>
      <c r="B2" s="47" t="s">
        <v>1</v>
      </c>
      <c r="C2" s="47"/>
      <c r="D2" s="6"/>
      <c r="E2" s="6"/>
      <c r="F2" s="44"/>
      <c r="G2" s="44"/>
    </row>
    <row r="3" spans="1:15" ht="15" customHeight="1" x14ac:dyDescent="0.4">
      <c r="A3" s="98"/>
      <c r="B3" s="47" t="s">
        <v>2</v>
      </c>
      <c r="C3" s="47"/>
      <c r="D3" s="6"/>
      <c r="E3" s="6"/>
      <c r="F3" s="6"/>
      <c r="G3" s="6"/>
      <c r="H3" s="6"/>
    </row>
    <row r="4" spans="1:15" ht="15" customHeight="1" x14ac:dyDescent="0.4">
      <c r="A4" s="98"/>
      <c r="C4" s="48"/>
      <c r="D4" s="49"/>
      <c r="E4" s="49"/>
      <c r="G4" s="49"/>
      <c r="H4" s="49"/>
      <c r="J4" s="49"/>
    </row>
    <row r="5" spans="1:15" ht="15" customHeight="1" x14ac:dyDescent="0.4">
      <c r="A5" s="102"/>
      <c r="B5" s="102"/>
      <c r="C5" s="102"/>
      <c r="D5" s="102"/>
      <c r="E5" s="102"/>
      <c r="F5" s="102"/>
      <c r="G5" s="102"/>
      <c r="H5" s="102"/>
      <c r="I5" s="102"/>
      <c r="J5" s="102"/>
      <c r="K5" s="102"/>
      <c r="L5" s="102"/>
      <c r="M5" s="102"/>
      <c r="N5" s="102"/>
      <c r="O5" s="102"/>
    </row>
    <row r="6" spans="1:15" ht="15" customHeight="1" x14ac:dyDescent="0.5">
      <c r="A6" s="103" t="s">
        <v>3</v>
      </c>
      <c r="B6" s="103"/>
      <c r="C6" s="103"/>
      <c r="D6" s="103"/>
      <c r="E6" s="103"/>
      <c r="F6" s="103"/>
      <c r="G6" s="103"/>
      <c r="H6" s="103"/>
      <c r="I6" s="103"/>
      <c r="J6" s="103"/>
      <c r="K6" s="103"/>
      <c r="L6" s="103"/>
      <c r="M6" s="103"/>
      <c r="N6" s="103"/>
      <c r="O6" s="103"/>
    </row>
    <row r="7" spans="1:15" ht="13.7" x14ac:dyDescent="0.4">
      <c r="A7" s="104" t="s">
        <v>4</v>
      </c>
      <c r="B7" s="104"/>
      <c r="C7" s="104"/>
      <c r="D7" s="104"/>
      <c r="E7" s="104"/>
      <c r="F7" s="104"/>
      <c r="G7" s="104"/>
      <c r="H7" s="104"/>
      <c r="I7" s="104"/>
      <c r="J7" s="104"/>
      <c r="K7" s="104"/>
      <c r="L7" s="104"/>
      <c r="M7" s="104"/>
      <c r="N7" s="104"/>
      <c r="O7" s="104"/>
    </row>
    <row r="8" spans="1:15" ht="13" thickBot="1" x14ac:dyDescent="0.45">
      <c r="A8" s="105"/>
      <c r="B8" s="105"/>
      <c r="C8" s="105"/>
      <c r="D8" s="105"/>
      <c r="E8" s="105"/>
      <c r="F8" s="105"/>
      <c r="G8" s="105"/>
      <c r="H8" s="105"/>
      <c r="I8" s="105"/>
      <c r="J8" s="105"/>
      <c r="K8" s="105"/>
      <c r="L8" s="105"/>
      <c r="M8" s="105"/>
      <c r="N8" s="105"/>
      <c r="O8" s="105"/>
    </row>
    <row r="9" spans="1:15" ht="15" customHeight="1" x14ac:dyDescent="0.4">
      <c r="G9" s="106"/>
      <c r="H9" s="106"/>
      <c r="I9" s="106"/>
    </row>
    <row r="10" spans="1:15" ht="17.350000000000001" x14ac:dyDescent="0.4">
      <c r="G10" s="15"/>
    </row>
    <row r="11" spans="1:15" x14ac:dyDescent="0.4">
      <c r="A11" s="108"/>
      <c r="B11" s="108"/>
      <c r="C11" s="108"/>
      <c r="D11" s="108"/>
      <c r="E11" s="108"/>
      <c r="F11" s="108"/>
      <c r="G11" s="108"/>
      <c r="H11" s="108"/>
      <c r="I11" s="108"/>
      <c r="J11" s="108"/>
      <c r="K11" s="108"/>
      <c r="L11" s="108"/>
      <c r="M11" s="108"/>
      <c r="N11" s="108"/>
    </row>
    <row r="12" spans="1:15" x14ac:dyDescent="0.4">
      <c r="A12" s="108"/>
      <c r="B12" s="108"/>
      <c r="C12" s="108"/>
      <c r="D12" s="108"/>
      <c r="E12" s="108"/>
      <c r="F12" s="108"/>
      <c r="G12" s="108"/>
      <c r="H12" s="108"/>
      <c r="I12" s="108"/>
      <c r="J12" s="108"/>
      <c r="K12" s="108"/>
      <c r="L12" s="108"/>
      <c r="M12" s="108"/>
      <c r="N12" s="108"/>
    </row>
    <row r="13" spans="1:15" ht="20.100000000000001" customHeight="1" thickBot="1" x14ac:dyDescent="0.45">
      <c r="A13" s="109" t="s">
        <v>5</v>
      </c>
      <c r="B13" s="109"/>
      <c r="C13" s="109"/>
      <c r="D13" s="109"/>
      <c r="E13" s="109"/>
      <c r="F13" s="109"/>
      <c r="G13" s="109"/>
      <c r="H13" s="109"/>
      <c r="I13" s="109"/>
      <c r="J13" s="109"/>
      <c r="K13" s="109"/>
      <c r="L13" s="109"/>
      <c r="M13" s="109"/>
      <c r="N13" s="109"/>
      <c r="O13" s="109"/>
    </row>
    <row r="14" spans="1:15" ht="15" customHeight="1" x14ac:dyDescent="0.4">
      <c r="A14" s="3" t="s">
        <v>6</v>
      </c>
      <c r="C14" s="107">
        <v>2025</v>
      </c>
      <c r="D14" s="107"/>
      <c r="E14" s="107"/>
      <c r="F14" s="107"/>
      <c r="G14" s="107"/>
      <c r="H14" s="12"/>
      <c r="I14" s="12"/>
      <c r="J14" s="12"/>
      <c r="K14" s="12"/>
      <c r="L14" s="12"/>
      <c r="M14" s="12"/>
      <c r="N14" s="12"/>
    </row>
    <row r="15" spans="1:15" ht="15" customHeight="1" x14ac:dyDescent="0.4">
      <c r="A15" s="3" t="s">
        <v>7</v>
      </c>
      <c r="C15" s="110" t="s">
        <v>225</v>
      </c>
      <c r="D15" s="110"/>
      <c r="E15" s="110"/>
      <c r="F15" s="110"/>
      <c r="G15" s="110"/>
      <c r="H15" s="13"/>
      <c r="I15" s="13"/>
      <c r="J15" s="13"/>
      <c r="K15" s="13"/>
      <c r="L15" s="13"/>
      <c r="M15" s="13"/>
      <c r="N15" s="13"/>
    </row>
    <row r="16" spans="1:15" ht="15" customHeight="1" x14ac:dyDescent="0.4">
      <c r="A16" s="3" t="s">
        <v>8</v>
      </c>
      <c r="C16" s="110" t="s">
        <v>226</v>
      </c>
      <c r="D16" s="110"/>
      <c r="E16" s="110"/>
      <c r="F16" s="110"/>
      <c r="G16" s="110"/>
      <c r="H16" s="11"/>
      <c r="I16" s="11"/>
      <c r="J16" s="10"/>
      <c r="K16" s="11"/>
      <c r="L16" s="11"/>
      <c r="M16" s="11"/>
      <c r="N16" s="11"/>
    </row>
    <row r="17" spans="1:36" ht="20.100000000000001" customHeight="1" x14ac:dyDescent="0.4">
      <c r="A17" s="112" t="s">
        <v>9</v>
      </c>
      <c r="B17" s="112"/>
      <c r="C17" s="112"/>
      <c r="D17" s="112"/>
      <c r="E17" s="112"/>
      <c r="F17" s="112"/>
      <c r="G17" s="112"/>
      <c r="H17" s="112"/>
      <c r="I17" s="112"/>
      <c r="J17" s="112"/>
      <c r="K17" s="112"/>
      <c r="L17" s="112"/>
      <c r="M17" s="112"/>
      <c r="N17" s="112"/>
      <c r="O17" s="112"/>
    </row>
    <row r="18" spans="1:36" ht="15" customHeight="1" thickBot="1" x14ac:dyDescent="0.45">
      <c r="A18" s="101" t="s">
        <v>10</v>
      </c>
      <c r="B18" s="101"/>
      <c r="C18" s="101"/>
      <c r="D18" s="101"/>
      <c r="E18" s="101"/>
      <c r="F18" s="101"/>
      <c r="G18" s="101"/>
      <c r="H18" s="101"/>
      <c r="I18" s="101"/>
      <c r="J18" s="101"/>
      <c r="K18" s="101"/>
      <c r="L18" s="101"/>
      <c r="M18" s="101"/>
      <c r="N18" s="101"/>
      <c r="O18" s="101"/>
      <c r="Q18" s="80"/>
    </row>
    <row r="19" spans="1:36" ht="15" customHeight="1" x14ac:dyDescent="0.4">
      <c r="A19" s="5"/>
      <c r="B19" s="39">
        <v>2024</v>
      </c>
      <c r="C19" s="16" t="s">
        <v>11</v>
      </c>
      <c r="D19" s="16" t="s">
        <v>12</v>
      </c>
      <c r="E19" s="16" t="s">
        <v>13</v>
      </c>
      <c r="F19" s="16" t="s">
        <v>14</v>
      </c>
      <c r="G19" s="16" t="s">
        <v>15</v>
      </c>
      <c r="H19" s="16" t="s">
        <v>16</v>
      </c>
      <c r="I19" s="16" t="s">
        <v>17</v>
      </c>
      <c r="J19" s="16" t="s">
        <v>18</v>
      </c>
      <c r="K19" s="16" t="s">
        <v>19</v>
      </c>
      <c r="L19" s="16" t="s">
        <v>20</v>
      </c>
      <c r="M19" s="16" t="s">
        <v>21</v>
      </c>
      <c r="N19" s="16" t="s">
        <v>22</v>
      </c>
      <c r="O19" s="34" t="s">
        <v>23</v>
      </c>
    </row>
    <row r="20" spans="1:36" ht="15" customHeight="1" x14ac:dyDescent="0.4">
      <c r="A20" s="3" t="s">
        <v>24</v>
      </c>
      <c r="B20" s="50">
        <v>10</v>
      </c>
      <c r="C20" s="7">
        <f>B20+C34+C36</f>
        <v>11</v>
      </c>
      <c r="D20" s="7">
        <f t="shared" ref="D20:N20" si="0">C20+D34+D36-C25-C27</f>
        <v>7</v>
      </c>
      <c r="E20" s="7">
        <f t="shared" si="0"/>
        <v>7</v>
      </c>
      <c r="F20" s="7">
        <f t="shared" si="0"/>
        <v>7</v>
      </c>
      <c r="G20" s="7">
        <f t="shared" si="0"/>
        <v>7</v>
      </c>
      <c r="H20" s="7">
        <f t="shared" si="0"/>
        <v>7</v>
      </c>
      <c r="I20" s="7">
        <f t="shared" si="0"/>
        <v>7</v>
      </c>
      <c r="J20" s="7">
        <f t="shared" si="0"/>
        <v>7</v>
      </c>
      <c r="K20" s="7">
        <f t="shared" si="0"/>
        <v>7</v>
      </c>
      <c r="L20" s="7">
        <f t="shared" si="0"/>
        <v>7</v>
      </c>
      <c r="M20" s="7">
        <f t="shared" si="0"/>
        <v>7</v>
      </c>
      <c r="N20" s="7">
        <f t="shared" si="0"/>
        <v>7</v>
      </c>
      <c r="O20" s="33">
        <f>B20+O34+O36</f>
        <v>11</v>
      </c>
    </row>
    <row r="21" spans="1:36" ht="15" customHeight="1" x14ac:dyDescent="0.4">
      <c r="A21" s="3" t="s">
        <v>25</v>
      </c>
      <c r="B21" s="50">
        <v>15</v>
      </c>
      <c r="C21" s="7">
        <f>(B21+C35)</f>
        <v>15</v>
      </c>
      <c r="D21" s="7">
        <f t="shared" ref="D21:N21" si="1">(C21+D35-C26)</f>
        <v>12</v>
      </c>
      <c r="E21" s="7">
        <f t="shared" si="1"/>
        <v>12</v>
      </c>
      <c r="F21" s="7">
        <f t="shared" si="1"/>
        <v>12</v>
      </c>
      <c r="G21" s="7">
        <f t="shared" si="1"/>
        <v>12</v>
      </c>
      <c r="H21" s="7">
        <f t="shared" si="1"/>
        <v>12</v>
      </c>
      <c r="I21" s="7">
        <f t="shared" si="1"/>
        <v>12</v>
      </c>
      <c r="J21" s="7">
        <f t="shared" si="1"/>
        <v>12</v>
      </c>
      <c r="K21" s="7">
        <f t="shared" si="1"/>
        <v>12</v>
      </c>
      <c r="L21" s="7">
        <f t="shared" si="1"/>
        <v>12</v>
      </c>
      <c r="M21" s="7">
        <f t="shared" si="1"/>
        <v>12</v>
      </c>
      <c r="N21" s="7">
        <f t="shared" si="1"/>
        <v>12</v>
      </c>
      <c r="O21" s="33">
        <f>B21+O35</f>
        <v>15</v>
      </c>
    </row>
    <row r="22" spans="1:36" ht="15" customHeight="1" thickBot="1" x14ac:dyDescent="0.45">
      <c r="A22" s="85" t="s">
        <v>26</v>
      </c>
      <c r="B22" s="27">
        <f t="shared" ref="B22:O22" si="2">B20+B21</f>
        <v>25</v>
      </c>
      <c r="C22" s="27">
        <f t="shared" si="2"/>
        <v>26</v>
      </c>
      <c r="D22" s="27">
        <f t="shared" si="2"/>
        <v>19</v>
      </c>
      <c r="E22" s="27">
        <f t="shared" si="2"/>
        <v>19</v>
      </c>
      <c r="F22" s="27">
        <f t="shared" si="2"/>
        <v>19</v>
      </c>
      <c r="G22" s="27">
        <f t="shared" si="2"/>
        <v>19</v>
      </c>
      <c r="H22" s="27">
        <f t="shared" si="2"/>
        <v>19</v>
      </c>
      <c r="I22" s="27">
        <f t="shared" si="2"/>
        <v>19</v>
      </c>
      <c r="J22" s="27">
        <f t="shared" si="2"/>
        <v>19</v>
      </c>
      <c r="K22" s="27">
        <f t="shared" si="2"/>
        <v>19</v>
      </c>
      <c r="L22" s="27">
        <f t="shared" si="2"/>
        <v>19</v>
      </c>
      <c r="M22" s="27">
        <f t="shared" si="2"/>
        <v>19</v>
      </c>
      <c r="N22" s="27">
        <f t="shared" si="2"/>
        <v>19</v>
      </c>
      <c r="O22" s="27">
        <f t="shared" si="2"/>
        <v>26</v>
      </c>
    </row>
    <row r="23" spans="1:36" ht="15" customHeight="1" thickBot="1" x14ac:dyDescent="0.45">
      <c r="A23" s="101" t="s">
        <v>27</v>
      </c>
      <c r="B23" s="101"/>
      <c r="C23" s="101"/>
      <c r="D23" s="101"/>
      <c r="E23" s="101"/>
      <c r="F23" s="101"/>
      <c r="G23" s="101"/>
      <c r="H23" s="101"/>
      <c r="I23" s="101"/>
      <c r="J23" s="101"/>
      <c r="K23" s="101"/>
      <c r="L23" s="101"/>
      <c r="M23" s="101"/>
      <c r="N23" s="101"/>
      <c r="O23" s="101"/>
    </row>
    <row r="24" spans="1:36" ht="15" customHeight="1" x14ac:dyDescent="0.4">
      <c r="A24" s="5"/>
      <c r="B24" s="5"/>
      <c r="C24" s="25" t="s">
        <v>11</v>
      </c>
      <c r="D24" s="25" t="s">
        <v>12</v>
      </c>
      <c r="E24" s="25" t="s">
        <v>13</v>
      </c>
      <c r="F24" s="25" t="s">
        <v>14</v>
      </c>
      <c r="G24" s="25" t="s">
        <v>28</v>
      </c>
      <c r="H24" s="25" t="s">
        <v>16</v>
      </c>
      <c r="I24" s="26" t="s">
        <v>17</v>
      </c>
      <c r="J24" s="26" t="s">
        <v>29</v>
      </c>
      <c r="K24" s="26" t="s">
        <v>19</v>
      </c>
      <c r="L24" s="26" t="s">
        <v>20</v>
      </c>
      <c r="M24" s="26" t="s">
        <v>21</v>
      </c>
      <c r="N24" s="26" t="s">
        <v>22</v>
      </c>
      <c r="O24" s="34" t="s">
        <v>23</v>
      </c>
    </row>
    <row r="25" spans="1:36" ht="15" customHeight="1" x14ac:dyDescent="0.4">
      <c r="A25" s="5" t="s">
        <v>30</v>
      </c>
      <c r="B25" s="5"/>
      <c r="C25" s="46">
        <v>2</v>
      </c>
      <c r="D25" s="46"/>
      <c r="E25" s="46"/>
      <c r="F25" s="46"/>
      <c r="G25" s="46"/>
      <c r="H25" s="46"/>
      <c r="I25" s="51"/>
      <c r="J25" s="51"/>
      <c r="K25" s="46"/>
      <c r="L25" s="51"/>
      <c r="M25" s="46"/>
      <c r="N25" s="52"/>
      <c r="O25" s="33">
        <f>SUM(C25:N25)</f>
        <v>2</v>
      </c>
    </row>
    <row r="26" spans="1:36" ht="15" customHeight="1" x14ac:dyDescent="0.4">
      <c r="A26" s="5" t="s">
        <v>31</v>
      </c>
      <c r="B26" s="5"/>
      <c r="C26" s="46">
        <v>3</v>
      </c>
      <c r="D26" s="46"/>
      <c r="E26" s="46"/>
      <c r="F26" s="46"/>
      <c r="G26" s="46"/>
      <c r="H26" s="46"/>
      <c r="I26" s="51"/>
      <c r="J26" s="51"/>
      <c r="K26" s="46"/>
      <c r="L26" s="51"/>
      <c r="M26" s="46"/>
      <c r="N26" s="52"/>
      <c r="O26" s="33">
        <f>SUM(C26:N26)</f>
        <v>3</v>
      </c>
    </row>
    <row r="27" spans="1:36" ht="15" customHeight="1" x14ac:dyDescent="0.4">
      <c r="A27" s="3" t="s">
        <v>32</v>
      </c>
      <c r="B27" s="5"/>
      <c r="C27" s="46">
        <v>2</v>
      </c>
      <c r="D27" s="46"/>
      <c r="E27" s="46"/>
      <c r="F27" s="46"/>
      <c r="G27" s="46"/>
      <c r="H27" s="46"/>
      <c r="I27" s="51"/>
      <c r="J27" s="51"/>
      <c r="K27" s="46"/>
      <c r="L27" s="51"/>
      <c r="M27" s="46"/>
      <c r="N27" s="52"/>
      <c r="O27" s="33">
        <f>SUM(C27:N27)</f>
        <v>2</v>
      </c>
    </row>
    <row r="28" spans="1:36" ht="15" customHeight="1" thickBot="1" x14ac:dyDescent="0.45">
      <c r="A28" s="42" t="s">
        <v>33</v>
      </c>
      <c r="B28" s="38"/>
      <c r="C28" s="27">
        <f t="shared" ref="C28:O28" si="3">C25+C26+C27</f>
        <v>7</v>
      </c>
      <c r="D28" s="27">
        <f t="shared" si="3"/>
        <v>0</v>
      </c>
      <c r="E28" s="27">
        <f t="shared" si="3"/>
        <v>0</v>
      </c>
      <c r="F28" s="27">
        <f t="shared" si="3"/>
        <v>0</v>
      </c>
      <c r="G28" s="27">
        <f t="shared" si="3"/>
        <v>0</v>
      </c>
      <c r="H28" s="27">
        <f t="shared" si="3"/>
        <v>0</v>
      </c>
      <c r="I28" s="27">
        <f t="shared" si="3"/>
        <v>0</v>
      </c>
      <c r="J28" s="27">
        <f t="shared" si="3"/>
        <v>0</v>
      </c>
      <c r="K28" s="27">
        <f t="shared" si="3"/>
        <v>0</v>
      </c>
      <c r="L28" s="27">
        <f t="shared" si="3"/>
        <v>0</v>
      </c>
      <c r="M28" s="27">
        <f t="shared" si="3"/>
        <v>0</v>
      </c>
      <c r="N28" s="27">
        <f t="shared" si="3"/>
        <v>0</v>
      </c>
      <c r="O28" s="27">
        <f t="shared" si="3"/>
        <v>7</v>
      </c>
    </row>
    <row r="29" spans="1:36" ht="15" customHeight="1" thickBot="1" x14ac:dyDescent="0.45">
      <c r="A29" s="87" t="s">
        <v>34</v>
      </c>
      <c r="B29" s="87"/>
      <c r="C29" s="87"/>
      <c r="D29" s="87"/>
      <c r="E29" s="87"/>
      <c r="F29" s="87"/>
      <c r="G29" s="87"/>
      <c r="H29" s="87"/>
      <c r="I29" s="87"/>
      <c r="J29" s="87"/>
      <c r="K29" s="87"/>
      <c r="L29" s="87"/>
      <c r="M29" s="87"/>
      <c r="N29" s="87"/>
      <c r="O29" s="87"/>
    </row>
    <row r="30" spans="1:36" ht="15" customHeight="1" x14ac:dyDescent="0.4">
      <c r="B30" s="40">
        <v>2024</v>
      </c>
      <c r="C30" s="23" t="s">
        <v>11</v>
      </c>
      <c r="D30" s="23" t="s">
        <v>12</v>
      </c>
      <c r="E30" s="23" t="s">
        <v>13</v>
      </c>
      <c r="F30" s="23" t="s">
        <v>14</v>
      </c>
      <c r="G30" s="23" t="s">
        <v>15</v>
      </c>
      <c r="H30" s="23" t="s">
        <v>16</v>
      </c>
      <c r="I30" s="23" t="s">
        <v>17</v>
      </c>
      <c r="J30" s="23" t="s">
        <v>18</v>
      </c>
      <c r="K30" s="23" t="s">
        <v>19</v>
      </c>
      <c r="L30" s="23" t="s">
        <v>20</v>
      </c>
      <c r="M30" s="23" t="s">
        <v>21</v>
      </c>
      <c r="N30" s="23" t="s">
        <v>22</v>
      </c>
      <c r="O30" s="36" t="s">
        <v>23</v>
      </c>
      <c r="Q30" t="s">
        <v>35</v>
      </c>
    </row>
    <row r="31" spans="1:36" ht="15" customHeight="1" x14ac:dyDescent="0.4">
      <c r="A31" s="18" t="s">
        <v>36</v>
      </c>
      <c r="B31" s="76"/>
      <c r="C31" s="46">
        <v>3</v>
      </c>
      <c r="D31" s="46"/>
      <c r="E31" s="46"/>
      <c r="F31" s="46"/>
      <c r="G31" s="46"/>
      <c r="H31" s="46"/>
      <c r="I31" s="51"/>
      <c r="J31" s="51"/>
      <c r="K31" s="46"/>
      <c r="L31" s="51"/>
      <c r="M31" s="46"/>
      <c r="N31" s="52"/>
      <c r="O31" s="57">
        <f>SUM(C31:N31)</f>
        <v>3</v>
      </c>
      <c r="P31" s="67"/>
      <c r="AH31" s="58"/>
      <c r="AI31" s="58"/>
      <c r="AJ31" s="58"/>
    </row>
    <row r="32" spans="1:36" ht="15" customHeight="1" x14ac:dyDescent="0.4">
      <c r="A32" s="18" t="s">
        <v>37</v>
      </c>
      <c r="B32" s="76"/>
      <c r="C32" s="46">
        <v>2</v>
      </c>
      <c r="D32" s="46"/>
      <c r="E32" s="46"/>
      <c r="F32" s="46"/>
      <c r="G32" s="46"/>
      <c r="H32" s="46"/>
      <c r="I32" s="51"/>
      <c r="J32" s="51"/>
      <c r="K32" s="46"/>
      <c r="L32" s="51"/>
      <c r="M32" s="46"/>
      <c r="N32" s="52"/>
      <c r="O32" s="57">
        <f>SUM(C32:N32)</f>
        <v>2</v>
      </c>
      <c r="P32" s="67"/>
      <c r="AH32" s="58"/>
      <c r="AI32" s="58"/>
      <c r="AJ32" s="58"/>
    </row>
    <row r="33" spans="1:31" ht="15" customHeight="1" x14ac:dyDescent="0.4">
      <c r="A33" s="18" t="s">
        <v>38</v>
      </c>
      <c r="B33" s="46">
        <v>5</v>
      </c>
      <c r="C33" s="46">
        <v>4</v>
      </c>
      <c r="D33" s="46"/>
      <c r="E33" s="46"/>
      <c r="F33" s="46"/>
      <c r="G33" s="46"/>
      <c r="H33" s="46"/>
      <c r="I33" s="51"/>
      <c r="J33" s="51"/>
      <c r="K33" s="46"/>
      <c r="L33" s="51"/>
      <c r="M33" s="46"/>
      <c r="N33" s="52"/>
      <c r="O33" s="57" t="s">
        <v>39</v>
      </c>
    </row>
    <row r="34" spans="1:31" ht="15" customHeight="1" x14ac:dyDescent="0.4">
      <c r="A34" s="5" t="s">
        <v>40</v>
      </c>
      <c r="B34" s="76"/>
      <c r="C34" s="46">
        <v>1</v>
      </c>
      <c r="D34" s="46"/>
      <c r="E34" s="46"/>
      <c r="F34" s="46"/>
      <c r="G34" s="46"/>
      <c r="H34" s="46"/>
      <c r="I34" s="51"/>
      <c r="J34" s="51"/>
      <c r="K34" s="46"/>
      <c r="L34" s="51"/>
      <c r="M34" s="46"/>
      <c r="N34" s="52"/>
      <c r="O34" s="57">
        <f>SUM(C34:N34)</f>
        <v>1</v>
      </c>
    </row>
    <row r="35" spans="1:31" ht="15" customHeight="1" x14ac:dyDescent="0.4">
      <c r="A35" s="5" t="s">
        <v>41</v>
      </c>
      <c r="B35" s="76"/>
      <c r="C35" s="46">
        <v>0</v>
      </c>
      <c r="D35" s="46"/>
      <c r="E35" s="46"/>
      <c r="F35" s="46"/>
      <c r="G35" s="46"/>
      <c r="H35" s="46"/>
      <c r="I35" s="51"/>
      <c r="J35" s="51"/>
      <c r="K35" s="46"/>
      <c r="L35" s="51"/>
      <c r="M35" s="46"/>
      <c r="N35" s="52"/>
      <c r="O35" s="57">
        <f>SUM(C35:N35)</f>
        <v>0</v>
      </c>
    </row>
    <row r="36" spans="1:31" ht="15" customHeight="1" x14ac:dyDescent="0.4">
      <c r="A36" s="3" t="s">
        <v>42</v>
      </c>
      <c r="B36" s="76"/>
      <c r="C36" s="46">
        <v>0</v>
      </c>
      <c r="D36" s="46"/>
      <c r="E36" s="46"/>
      <c r="F36" s="46"/>
      <c r="G36" s="46"/>
      <c r="H36" s="46"/>
      <c r="I36" s="51"/>
      <c r="J36" s="51"/>
      <c r="K36" s="46"/>
      <c r="L36" s="51"/>
      <c r="M36" s="46"/>
      <c r="N36" s="52"/>
      <c r="O36" s="57">
        <f>SUM(C36:N36)</f>
        <v>0</v>
      </c>
    </row>
    <row r="37" spans="1:31" ht="15" customHeight="1" thickBot="1" x14ac:dyDescent="0.45">
      <c r="A37" s="85" t="s">
        <v>43</v>
      </c>
      <c r="B37" s="19"/>
      <c r="C37" s="27">
        <f t="shared" ref="C37:N37" si="4">C36+C35+C34</f>
        <v>1</v>
      </c>
      <c r="D37" s="27">
        <f t="shared" si="4"/>
        <v>0</v>
      </c>
      <c r="E37" s="27">
        <f t="shared" si="4"/>
        <v>0</v>
      </c>
      <c r="F37" s="27">
        <f t="shared" si="4"/>
        <v>0</v>
      </c>
      <c r="G37" s="27">
        <f t="shared" si="4"/>
        <v>0</v>
      </c>
      <c r="H37" s="27">
        <f t="shared" si="4"/>
        <v>0</v>
      </c>
      <c r="I37" s="27">
        <f t="shared" si="4"/>
        <v>0</v>
      </c>
      <c r="J37" s="27">
        <f t="shared" si="4"/>
        <v>0</v>
      </c>
      <c r="K37" s="27">
        <f t="shared" si="4"/>
        <v>0</v>
      </c>
      <c r="L37" s="27">
        <f t="shared" si="4"/>
        <v>0</v>
      </c>
      <c r="M37" s="27">
        <f t="shared" si="4"/>
        <v>0</v>
      </c>
      <c r="N37" s="27">
        <f t="shared" si="4"/>
        <v>0</v>
      </c>
      <c r="O37" s="27">
        <f>O34+O35+O36</f>
        <v>1</v>
      </c>
    </row>
    <row r="38" spans="1:31" ht="15" customHeight="1" thickBot="1" x14ac:dyDescent="0.45">
      <c r="A38" s="101" t="s">
        <v>44</v>
      </c>
      <c r="B38" s="101"/>
      <c r="C38" s="101"/>
      <c r="D38" s="101"/>
      <c r="E38" s="101"/>
      <c r="F38" s="101"/>
      <c r="G38" s="101"/>
      <c r="H38" s="101"/>
      <c r="I38" s="101"/>
      <c r="J38" s="101"/>
      <c r="K38" s="101"/>
      <c r="L38" s="101"/>
      <c r="M38" s="101"/>
      <c r="N38" s="101"/>
      <c r="O38" s="101"/>
      <c r="Q38" s="2"/>
      <c r="R38" s="2"/>
      <c r="S38" s="2"/>
      <c r="T38" s="2"/>
      <c r="U38" s="2"/>
      <c r="V38" s="2"/>
      <c r="W38" s="2"/>
      <c r="X38" s="2"/>
      <c r="Y38" s="2"/>
      <c r="Z38" s="2"/>
      <c r="AA38" s="2"/>
      <c r="AB38" s="2"/>
      <c r="AC38" s="2"/>
      <c r="AD38" s="2"/>
      <c r="AE38" s="2"/>
    </row>
    <row r="39" spans="1:31" s="2" customFormat="1" ht="15" customHeight="1" x14ac:dyDescent="0.4">
      <c r="A39" s="20"/>
      <c r="B39" s="20"/>
      <c r="C39" s="16" t="s">
        <v>11</v>
      </c>
      <c r="D39" s="16" t="s">
        <v>12</v>
      </c>
      <c r="E39" s="16" t="s">
        <v>13</v>
      </c>
      <c r="F39" s="16" t="s">
        <v>14</v>
      </c>
      <c r="G39" s="16" t="s">
        <v>15</v>
      </c>
      <c r="H39" s="16" t="s">
        <v>16</v>
      </c>
      <c r="I39" s="16" t="s">
        <v>17</v>
      </c>
      <c r="J39" s="16" t="s">
        <v>18</v>
      </c>
      <c r="K39" s="16" t="s">
        <v>19</v>
      </c>
      <c r="L39" s="16" t="s">
        <v>20</v>
      </c>
      <c r="M39" s="16" t="s">
        <v>21</v>
      </c>
      <c r="N39" s="16" t="s">
        <v>22</v>
      </c>
      <c r="O39" s="34" t="s">
        <v>23</v>
      </c>
    </row>
    <row r="40" spans="1:31" s="2" customFormat="1" ht="15" customHeight="1" x14ac:dyDescent="0.4">
      <c r="A40" s="3" t="s">
        <v>45</v>
      </c>
      <c r="B40" s="3"/>
      <c r="C40" s="46"/>
      <c r="D40" s="46"/>
      <c r="E40" s="46"/>
      <c r="F40" s="46"/>
      <c r="G40" s="46"/>
      <c r="H40" s="46"/>
      <c r="I40" s="51"/>
      <c r="J40" s="46"/>
      <c r="K40" s="46"/>
      <c r="L40" s="51"/>
      <c r="M40" s="46"/>
      <c r="N40" s="52"/>
      <c r="O40" s="33">
        <f>SUM(C40:N40)</f>
        <v>0</v>
      </c>
    </row>
    <row r="41" spans="1:31" s="2" customFormat="1" ht="15" customHeight="1" x14ac:dyDescent="0.4">
      <c r="A41" s="5" t="s">
        <v>46</v>
      </c>
      <c r="B41" s="3"/>
      <c r="C41" s="46"/>
      <c r="D41" s="46"/>
      <c r="E41" s="46"/>
      <c r="F41" s="46"/>
      <c r="G41" s="46"/>
      <c r="H41" s="46"/>
      <c r="I41" s="51"/>
      <c r="J41" s="46"/>
      <c r="K41" s="46"/>
      <c r="L41" s="51"/>
      <c r="M41" s="46"/>
      <c r="N41" s="52"/>
      <c r="O41" s="33">
        <f>SUM(C41:N41)</f>
        <v>0</v>
      </c>
    </row>
    <row r="42" spans="1:31" s="2" customFormat="1" ht="15" customHeight="1" x14ac:dyDescent="0.4">
      <c r="A42" s="3" t="s">
        <v>47</v>
      </c>
      <c r="B42" s="5"/>
      <c r="C42" s="46"/>
      <c r="D42" s="46"/>
      <c r="E42" s="46"/>
      <c r="F42" s="46"/>
      <c r="G42" s="46"/>
      <c r="H42" s="46"/>
      <c r="I42" s="51"/>
      <c r="J42" s="46"/>
      <c r="K42" s="46"/>
      <c r="L42" s="51"/>
      <c r="M42" s="46"/>
      <c r="N42" s="52"/>
      <c r="O42" s="33">
        <f>SUM(C42:N42)</f>
        <v>0</v>
      </c>
    </row>
    <row r="43" spans="1:31" s="2" customFormat="1" ht="15" customHeight="1" x14ac:dyDescent="0.4">
      <c r="A43" s="3" t="s">
        <v>48</v>
      </c>
      <c r="B43" s="3"/>
      <c r="C43" s="46"/>
      <c r="D43" s="46"/>
      <c r="E43" s="46"/>
      <c r="F43" s="46"/>
      <c r="G43" s="46"/>
      <c r="H43" s="46"/>
      <c r="I43" s="51"/>
      <c r="J43" s="46"/>
      <c r="K43" s="46"/>
      <c r="L43" s="51"/>
      <c r="M43" s="46"/>
      <c r="N43" s="52"/>
      <c r="O43" s="33">
        <f>SUM(C43:N43)</f>
        <v>0</v>
      </c>
    </row>
    <row r="44" spans="1:31" s="2" customFormat="1" ht="15" customHeight="1" x14ac:dyDescent="0.4">
      <c r="A44" s="3" t="s">
        <v>49</v>
      </c>
      <c r="B44"/>
      <c r="C44" s="46"/>
      <c r="D44" s="46"/>
      <c r="E44" s="46"/>
      <c r="F44" s="46"/>
      <c r="G44" s="46"/>
      <c r="H44" s="46"/>
      <c r="I44" s="51"/>
      <c r="J44" s="46"/>
      <c r="K44" s="46"/>
      <c r="L44" s="51"/>
      <c r="M44" s="46"/>
      <c r="N44" s="52"/>
      <c r="O44" s="33">
        <f>SUM(C44:N44)</f>
        <v>0</v>
      </c>
      <c r="Q44"/>
      <c r="R44"/>
      <c r="S44"/>
      <c r="T44"/>
      <c r="U44"/>
      <c r="V44"/>
      <c r="W44"/>
      <c r="X44"/>
      <c r="Y44"/>
      <c r="Z44"/>
      <c r="AA44"/>
      <c r="AB44"/>
      <c r="AC44"/>
      <c r="AD44"/>
      <c r="AE44"/>
    </row>
    <row r="45" spans="1:31" ht="15" customHeight="1" thickBot="1" x14ac:dyDescent="0.45">
      <c r="A45" s="101" t="s">
        <v>50</v>
      </c>
      <c r="B45" s="101"/>
      <c r="C45" s="101"/>
      <c r="D45" s="101"/>
      <c r="E45" s="101"/>
      <c r="F45" s="101"/>
      <c r="G45" s="101"/>
      <c r="H45" s="101"/>
      <c r="I45" s="101"/>
      <c r="J45" s="101"/>
      <c r="K45" s="101"/>
      <c r="L45" s="101"/>
      <c r="M45" s="101"/>
      <c r="N45" s="101"/>
      <c r="O45" s="101"/>
      <c r="Q45" s="6"/>
      <c r="R45" s="6"/>
      <c r="S45" s="6"/>
      <c r="T45" s="6"/>
      <c r="U45" s="6"/>
      <c r="V45" s="6"/>
      <c r="W45" s="6"/>
      <c r="X45" s="6"/>
      <c r="Y45" s="6"/>
      <c r="Z45" s="6"/>
      <c r="AA45" s="6"/>
      <c r="AB45" s="6"/>
      <c r="AC45" s="6"/>
      <c r="AD45" s="6"/>
      <c r="AE45" s="6"/>
    </row>
    <row r="46" spans="1:31" s="6" customFormat="1" ht="15" customHeight="1" x14ac:dyDescent="0.4">
      <c r="A46" s="20"/>
      <c r="B46" s="20"/>
      <c r="C46" s="16" t="s">
        <v>11</v>
      </c>
      <c r="D46" s="16" t="s">
        <v>12</v>
      </c>
      <c r="E46" s="16" t="s">
        <v>13</v>
      </c>
      <c r="F46" s="16" t="s">
        <v>14</v>
      </c>
      <c r="G46" s="16" t="s">
        <v>15</v>
      </c>
      <c r="H46" s="16" t="s">
        <v>16</v>
      </c>
      <c r="I46" s="16" t="s">
        <v>17</v>
      </c>
      <c r="J46" s="16" t="s">
        <v>18</v>
      </c>
      <c r="K46" s="16" t="s">
        <v>19</v>
      </c>
      <c r="L46" s="16" t="s">
        <v>20</v>
      </c>
      <c r="M46" s="16" t="s">
        <v>21</v>
      </c>
      <c r="N46" s="16" t="s">
        <v>22</v>
      </c>
      <c r="O46" s="34" t="s">
        <v>23</v>
      </c>
      <c r="Q46"/>
      <c r="R46"/>
      <c r="S46"/>
      <c r="T46"/>
      <c r="U46"/>
      <c r="V46"/>
      <c r="W46"/>
      <c r="X46"/>
      <c r="Y46"/>
      <c r="Z46"/>
      <c r="AA46"/>
      <c r="AB46"/>
      <c r="AC46"/>
      <c r="AD46"/>
      <c r="AE46"/>
    </row>
    <row r="47" spans="1:31" ht="15" customHeight="1" x14ac:dyDescent="0.4">
      <c r="A47" s="3" t="s">
        <v>51</v>
      </c>
      <c r="C47" s="46">
        <v>2</v>
      </c>
      <c r="D47" s="46"/>
      <c r="E47" s="46"/>
      <c r="F47" s="46"/>
      <c r="G47" s="46"/>
      <c r="H47" s="46"/>
      <c r="I47" s="51"/>
      <c r="J47" s="46"/>
      <c r="K47" s="46"/>
      <c r="L47" s="51"/>
      <c r="M47" s="46"/>
      <c r="N47" s="52"/>
      <c r="O47" s="33">
        <f>SUM(C47:N47)</f>
        <v>2</v>
      </c>
    </row>
    <row r="48" spans="1:31" ht="15" customHeight="1" x14ac:dyDescent="0.4">
      <c r="A48" s="5" t="s">
        <v>52</v>
      </c>
      <c r="C48" s="46"/>
      <c r="D48" s="46"/>
      <c r="E48" s="46"/>
      <c r="F48" s="46"/>
      <c r="G48" s="46"/>
      <c r="H48" s="46"/>
      <c r="I48" s="51"/>
      <c r="J48" s="46"/>
      <c r="K48" s="46"/>
      <c r="L48" s="51"/>
      <c r="M48" s="46"/>
      <c r="N48" s="52"/>
      <c r="O48" s="33">
        <f>SUM(C48:N48)</f>
        <v>0</v>
      </c>
    </row>
    <row r="49" spans="1:31" ht="15" customHeight="1" x14ac:dyDescent="0.4">
      <c r="A49" s="3" t="s">
        <v>53</v>
      </c>
      <c r="B49" s="5"/>
      <c r="C49" s="46">
        <v>1</v>
      </c>
      <c r="D49" s="46"/>
      <c r="E49" s="46"/>
      <c r="F49" s="46"/>
      <c r="G49" s="46"/>
      <c r="H49" s="46"/>
      <c r="I49" s="51"/>
      <c r="J49" s="46"/>
      <c r="K49" s="46"/>
      <c r="L49" s="51"/>
      <c r="M49" s="46"/>
      <c r="N49" s="52"/>
      <c r="O49" s="33">
        <f>SUM(C49:N49)</f>
        <v>1</v>
      </c>
    </row>
    <row r="50" spans="1:31" ht="15" customHeight="1" x14ac:dyDescent="0.4">
      <c r="A50" s="3" t="s">
        <v>54</v>
      </c>
      <c r="C50" s="46"/>
      <c r="D50" s="46"/>
      <c r="E50" s="46"/>
      <c r="F50" s="46"/>
      <c r="G50" s="46"/>
      <c r="H50" s="46"/>
      <c r="I50" s="51"/>
      <c r="J50" s="46"/>
      <c r="K50" s="46"/>
      <c r="L50" s="51"/>
      <c r="M50" s="46"/>
      <c r="N50" s="52"/>
      <c r="O50" s="33">
        <f>SUM(C50:N50)</f>
        <v>0</v>
      </c>
    </row>
    <row r="51" spans="1:31" ht="13" thickBot="1" x14ac:dyDescent="0.45">
      <c r="A51" s="21" t="s">
        <v>55</v>
      </c>
      <c r="B51" s="21"/>
      <c r="C51" s="41" t="str">
        <f t="shared" ref="C51:N51" si="5">IF(SUM(C47:C50)=C31,"OK","ERRO!")</f>
        <v>OK</v>
      </c>
      <c r="D51" s="41" t="str">
        <f t="shared" si="5"/>
        <v>OK</v>
      </c>
      <c r="E51" s="41" t="str">
        <f t="shared" si="5"/>
        <v>OK</v>
      </c>
      <c r="F51" s="41" t="str">
        <f t="shared" si="5"/>
        <v>OK</v>
      </c>
      <c r="G51" s="41" t="str">
        <f t="shared" si="5"/>
        <v>OK</v>
      </c>
      <c r="H51" s="41" t="str">
        <f t="shared" si="5"/>
        <v>OK</v>
      </c>
      <c r="I51" s="41" t="str">
        <f t="shared" si="5"/>
        <v>OK</v>
      </c>
      <c r="J51" s="41" t="str">
        <f t="shared" si="5"/>
        <v>OK</v>
      </c>
      <c r="K51" s="41" t="str">
        <f t="shared" si="5"/>
        <v>OK</v>
      </c>
      <c r="L51" s="41" t="str">
        <f t="shared" si="5"/>
        <v>OK</v>
      </c>
      <c r="M51" s="41" t="str">
        <f t="shared" si="5"/>
        <v>OK</v>
      </c>
      <c r="N51" s="41" t="str">
        <f t="shared" si="5"/>
        <v>OK</v>
      </c>
      <c r="O51" s="35">
        <f>SUM(O47:O50)</f>
        <v>3</v>
      </c>
    </row>
    <row r="52" spans="1:31" ht="14" thickBot="1" x14ac:dyDescent="0.45">
      <c r="A52" s="111" t="s">
        <v>56</v>
      </c>
      <c r="B52" s="111"/>
      <c r="C52" s="111"/>
      <c r="D52" s="111"/>
      <c r="E52" s="111"/>
      <c r="F52" s="111"/>
      <c r="G52" s="111"/>
      <c r="H52" s="111"/>
      <c r="I52" s="111"/>
      <c r="J52" s="111"/>
      <c r="K52" s="111"/>
      <c r="L52" s="111"/>
      <c r="M52" s="111"/>
      <c r="N52" s="111"/>
      <c r="O52" s="111"/>
    </row>
    <row r="53" spans="1:31" ht="13.95" customHeight="1" x14ac:dyDescent="0.4">
      <c r="A53" s="11"/>
      <c r="B53" s="11"/>
      <c r="C53" s="25" t="s">
        <v>11</v>
      </c>
      <c r="D53" s="25" t="s">
        <v>12</v>
      </c>
      <c r="E53" s="25" t="s">
        <v>13</v>
      </c>
      <c r="F53" s="25" t="s">
        <v>14</v>
      </c>
      <c r="G53" s="25" t="s">
        <v>28</v>
      </c>
      <c r="H53" s="25" t="s">
        <v>16</v>
      </c>
      <c r="I53" s="26" t="s">
        <v>17</v>
      </c>
      <c r="J53" s="26" t="s">
        <v>29</v>
      </c>
      <c r="K53" s="26" t="s">
        <v>19</v>
      </c>
      <c r="L53" s="26" t="s">
        <v>20</v>
      </c>
      <c r="M53" s="26" t="s">
        <v>21</v>
      </c>
      <c r="N53" s="26" t="s">
        <v>22</v>
      </c>
      <c r="O53" s="34" t="s">
        <v>23</v>
      </c>
    </row>
    <row r="54" spans="1:31" x14ac:dyDescent="0.4">
      <c r="A54" s="5" t="s">
        <v>57</v>
      </c>
      <c r="B54" s="5"/>
      <c r="C54" s="14">
        <f t="shared" ref="C54:N54" si="6">C33</f>
        <v>4</v>
      </c>
      <c r="D54" s="14">
        <f t="shared" si="6"/>
        <v>0</v>
      </c>
      <c r="E54" s="14">
        <f t="shared" si="6"/>
        <v>0</v>
      </c>
      <c r="F54" s="14">
        <f t="shared" si="6"/>
        <v>0</v>
      </c>
      <c r="G54" s="14">
        <f t="shared" si="6"/>
        <v>0</v>
      </c>
      <c r="H54" s="14">
        <f t="shared" si="6"/>
        <v>0</v>
      </c>
      <c r="I54" s="14">
        <f t="shared" si="6"/>
        <v>0</v>
      </c>
      <c r="J54" s="14">
        <f t="shared" si="6"/>
        <v>0</v>
      </c>
      <c r="K54" s="14">
        <f t="shared" si="6"/>
        <v>0</v>
      </c>
      <c r="L54" s="14">
        <f t="shared" si="6"/>
        <v>0</v>
      </c>
      <c r="M54" s="14">
        <f t="shared" si="6"/>
        <v>0</v>
      </c>
      <c r="N54" s="14">
        <f t="shared" si="6"/>
        <v>0</v>
      </c>
      <c r="O54" s="33" t="s">
        <v>58</v>
      </c>
    </row>
    <row r="55" spans="1:31" x14ac:dyDescent="0.4">
      <c r="A55" s="69" t="s">
        <v>59</v>
      </c>
      <c r="B55" s="5"/>
      <c r="C55" s="46"/>
      <c r="D55" s="46"/>
      <c r="E55" s="46"/>
      <c r="F55" s="46"/>
      <c r="G55" s="46"/>
      <c r="H55" s="46"/>
      <c r="I55" s="51"/>
      <c r="J55" s="51"/>
      <c r="K55" s="46"/>
      <c r="L55" s="51"/>
      <c r="M55" s="46"/>
      <c r="N55" s="52"/>
      <c r="O55" s="33">
        <f t="shared" ref="O55:O61" si="7">SUM(C55:N55)</f>
        <v>0</v>
      </c>
      <c r="Q55" s="6"/>
      <c r="R55" s="6"/>
      <c r="S55" s="6"/>
      <c r="T55" s="6"/>
      <c r="U55" s="6"/>
      <c r="V55" s="6"/>
      <c r="W55" s="6"/>
      <c r="X55" s="6"/>
      <c r="Y55" s="6"/>
      <c r="Z55" s="6"/>
      <c r="AA55" s="6"/>
      <c r="AB55" s="6"/>
      <c r="AC55" s="6"/>
      <c r="AD55" s="6"/>
      <c r="AE55" s="6"/>
    </row>
    <row r="56" spans="1:31" s="6" customFormat="1" x14ac:dyDescent="0.4">
      <c r="A56" s="69" t="s">
        <v>60</v>
      </c>
      <c r="B56" s="5"/>
      <c r="C56" s="46"/>
      <c r="D56" s="46"/>
      <c r="E56" s="46"/>
      <c r="F56" s="46"/>
      <c r="G56" s="46"/>
      <c r="H56" s="46"/>
      <c r="I56" s="51"/>
      <c r="J56" s="51"/>
      <c r="K56" s="46"/>
      <c r="L56" s="51"/>
      <c r="M56" s="46"/>
      <c r="N56" s="52"/>
      <c r="O56" s="33">
        <f t="shared" si="7"/>
        <v>0</v>
      </c>
      <c r="Q56"/>
      <c r="R56"/>
      <c r="S56"/>
      <c r="T56"/>
      <c r="U56"/>
      <c r="V56"/>
      <c r="W56"/>
      <c r="X56"/>
      <c r="Y56"/>
      <c r="Z56"/>
      <c r="AA56"/>
      <c r="AB56"/>
      <c r="AC56"/>
      <c r="AD56"/>
      <c r="AE56"/>
    </row>
    <row r="57" spans="1:31" x14ac:dyDescent="0.4">
      <c r="A57" s="69" t="s">
        <v>61</v>
      </c>
      <c r="B57" s="5"/>
      <c r="C57" s="46"/>
      <c r="D57" s="46"/>
      <c r="E57" s="46"/>
      <c r="F57" s="46"/>
      <c r="G57" s="46"/>
      <c r="H57" s="46"/>
      <c r="I57" s="51"/>
      <c r="J57" s="51"/>
      <c r="K57" s="46"/>
      <c r="L57" s="51"/>
      <c r="M57" s="46"/>
      <c r="N57" s="52"/>
      <c r="O57" s="33">
        <f t="shared" si="7"/>
        <v>0</v>
      </c>
    </row>
    <row r="58" spans="1:31" x14ac:dyDescent="0.4">
      <c r="A58" s="69" t="s">
        <v>62</v>
      </c>
      <c r="B58" s="5"/>
      <c r="C58" s="46"/>
      <c r="D58" s="46"/>
      <c r="E58" s="46"/>
      <c r="F58" s="46"/>
      <c r="G58" s="46"/>
      <c r="H58" s="46"/>
      <c r="I58" s="51"/>
      <c r="J58" s="51"/>
      <c r="K58" s="46"/>
      <c r="L58" s="51"/>
      <c r="M58" s="46"/>
      <c r="N58" s="52"/>
      <c r="O58" s="33">
        <f t="shared" si="7"/>
        <v>0</v>
      </c>
    </row>
    <row r="59" spans="1:31" x14ac:dyDescent="0.4">
      <c r="A59" s="75" t="s">
        <v>63</v>
      </c>
      <c r="B59" s="5"/>
      <c r="C59" s="46">
        <v>2</v>
      </c>
      <c r="D59" s="46"/>
      <c r="E59" s="46"/>
      <c r="F59" s="46"/>
      <c r="G59" s="46"/>
      <c r="H59" s="46"/>
      <c r="I59" s="51"/>
      <c r="J59" s="51"/>
      <c r="K59" s="46"/>
      <c r="L59" s="51"/>
      <c r="M59" s="46"/>
      <c r="N59" s="52"/>
      <c r="O59" s="33">
        <f t="shared" si="7"/>
        <v>2</v>
      </c>
    </row>
    <row r="60" spans="1:31" x14ac:dyDescent="0.4">
      <c r="A60" s="75" t="s">
        <v>64</v>
      </c>
      <c r="B60" s="5"/>
      <c r="C60" s="46"/>
      <c r="D60" s="46"/>
      <c r="E60" s="46"/>
      <c r="F60" s="46"/>
      <c r="G60" s="46"/>
      <c r="H60" s="46"/>
      <c r="I60" s="51"/>
      <c r="J60" s="51"/>
      <c r="K60" s="46"/>
      <c r="L60" s="51"/>
      <c r="M60" s="46"/>
      <c r="N60" s="52"/>
      <c r="O60" s="33">
        <f t="shared" si="7"/>
        <v>0</v>
      </c>
    </row>
    <row r="61" spans="1:31" x14ac:dyDescent="0.4">
      <c r="A61" s="75" t="s">
        <v>65</v>
      </c>
      <c r="B61" s="5"/>
      <c r="C61" s="46"/>
      <c r="D61" s="46"/>
      <c r="E61" s="46"/>
      <c r="F61" s="46"/>
      <c r="G61" s="46"/>
      <c r="H61" s="46"/>
      <c r="I61" s="51"/>
      <c r="J61" s="51"/>
      <c r="K61" s="46"/>
      <c r="L61" s="51"/>
      <c r="M61" s="46"/>
      <c r="N61" s="52"/>
      <c r="O61" s="33">
        <f t="shared" si="7"/>
        <v>0</v>
      </c>
    </row>
    <row r="62" spans="1:31" ht="13" thickBot="1" x14ac:dyDescent="0.45">
      <c r="A62" s="24" t="s">
        <v>55</v>
      </c>
      <c r="B62" s="24"/>
      <c r="C62" s="41" t="str">
        <f t="shared" ref="C62:N62" si="8">IF((SUM(C54:C61)+C34)=SUM(C31+B33),"OK","ERRO!")</f>
        <v>ERRO!</v>
      </c>
      <c r="D62" s="41" t="str">
        <f t="shared" si="8"/>
        <v>ERRO!</v>
      </c>
      <c r="E62" s="41" t="str">
        <f t="shared" si="8"/>
        <v>OK</v>
      </c>
      <c r="F62" s="41" t="str">
        <f t="shared" si="8"/>
        <v>OK</v>
      </c>
      <c r="G62" s="41" t="str">
        <f t="shared" si="8"/>
        <v>OK</v>
      </c>
      <c r="H62" s="41" t="str">
        <f t="shared" si="8"/>
        <v>OK</v>
      </c>
      <c r="I62" s="41" t="str">
        <f t="shared" si="8"/>
        <v>OK</v>
      </c>
      <c r="J62" s="41" t="str">
        <f t="shared" si="8"/>
        <v>OK</v>
      </c>
      <c r="K62" s="41" t="str">
        <f t="shared" si="8"/>
        <v>OK</v>
      </c>
      <c r="L62" s="41" t="str">
        <f t="shared" si="8"/>
        <v>OK</v>
      </c>
      <c r="M62" s="41" t="str">
        <f t="shared" si="8"/>
        <v>OK</v>
      </c>
      <c r="N62" s="41" t="str">
        <f t="shared" si="8"/>
        <v>OK</v>
      </c>
      <c r="O62" s="35">
        <f>SUM(O55:O61)</f>
        <v>2</v>
      </c>
    </row>
    <row r="63" spans="1:31" ht="15" thickBot="1" x14ac:dyDescent="0.45">
      <c r="A63" s="113" t="s">
        <v>66</v>
      </c>
      <c r="B63" s="113"/>
      <c r="C63" s="113"/>
      <c r="D63" s="113"/>
      <c r="E63" s="113"/>
      <c r="F63" s="113"/>
      <c r="G63" s="113"/>
      <c r="H63" s="113"/>
      <c r="I63" s="113"/>
      <c r="J63" s="113"/>
      <c r="K63" s="113"/>
      <c r="L63" s="113"/>
      <c r="M63" s="113"/>
      <c r="N63" s="113"/>
      <c r="O63" s="113"/>
    </row>
    <row r="64" spans="1:31" ht="14" thickBot="1" x14ac:dyDescent="0.45">
      <c r="A64" s="101" t="s">
        <v>67</v>
      </c>
      <c r="B64" s="101"/>
      <c r="C64" s="101"/>
      <c r="D64" s="101"/>
      <c r="E64" s="101"/>
      <c r="F64" s="101"/>
      <c r="G64" s="101"/>
      <c r="H64" s="101"/>
      <c r="I64" s="101"/>
      <c r="J64" s="101"/>
      <c r="K64" s="101"/>
      <c r="L64" s="101"/>
      <c r="M64" s="101"/>
      <c r="N64" s="101"/>
      <c r="O64" s="101"/>
    </row>
    <row r="65" spans="1:15" ht="13.7" x14ac:dyDescent="0.4">
      <c r="A65" s="17"/>
      <c r="B65" s="17"/>
      <c r="C65" s="86" t="s">
        <v>68</v>
      </c>
      <c r="D65" s="86"/>
      <c r="E65" s="86"/>
      <c r="F65" s="86"/>
      <c r="G65" s="86"/>
      <c r="H65" s="86"/>
      <c r="I65" s="86"/>
      <c r="J65" s="86"/>
      <c r="K65" s="86"/>
      <c r="L65" s="86"/>
      <c r="M65" s="86"/>
      <c r="N65" s="86"/>
      <c r="O65" s="86"/>
    </row>
    <row r="66" spans="1:15" x14ac:dyDescent="0.4">
      <c r="B66" s="39">
        <v>2024</v>
      </c>
      <c r="C66" s="29" t="s">
        <v>11</v>
      </c>
      <c r="D66" s="29" t="s">
        <v>12</v>
      </c>
      <c r="E66" s="29" t="s">
        <v>13</v>
      </c>
      <c r="F66" s="29" t="s">
        <v>14</v>
      </c>
      <c r="G66" s="29" t="s">
        <v>15</v>
      </c>
      <c r="H66" s="29" t="s">
        <v>16</v>
      </c>
      <c r="I66" s="29" t="s">
        <v>17</v>
      </c>
      <c r="J66" s="29" t="s">
        <v>18</v>
      </c>
      <c r="K66" s="29" t="s">
        <v>19</v>
      </c>
      <c r="L66" s="29" t="s">
        <v>20</v>
      </c>
      <c r="M66" s="29" t="s">
        <v>21</v>
      </c>
      <c r="N66" s="29" t="s">
        <v>22</v>
      </c>
      <c r="O66" s="36" t="s">
        <v>23</v>
      </c>
    </row>
    <row r="67" spans="1:15" x14ac:dyDescent="0.4">
      <c r="A67" s="28" t="s">
        <v>69</v>
      </c>
      <c r="B67" s="63"/>
      <c r="C67" s="46"/>
      <c r="D67" s="46"/>
      <c r="E67" s="46"/>
      <c r="F67" s="46"/>
      <c r="G67" s="46"/>
      <c r="H67" s="46"/>
      <c r="I67" s="51"/>
      <c r="J67" s="46"/>
      <c r="K67" s="46"/>
      <c r="L67" s="46"/>
      <c r="M67" s="46"/>
      <c r="N67" s="46"/>
      <c r="O67" s="57">
        <f t="shared" ref="O67:O72" si="9">SUM(B67:N67)</f>
        <v>0</v>
      </c>
    </row>
    <row r="68" spans="1:15" x14ac:dyDescent="0.4">
      <c r="A68" s="3" t="s">
        <v>70</v>
      </c>
      <c r="B68" s="63"/>
      <c r="C68" s="46"/>
      <c r="D68" s="46"/>
      <c r="E68" s="46"/>
      <c r="F68" s="46"/>
      <c r="G68" s="46"/>
      <c r="H68" s="46"/>
      <c r="I68" s="51"/>
      <c r="J68" s="46"/>
      <c r="K68" s="46"/>
      <c r="L68" s="46"/>
      <c r="M68" s="46"/>
      <c r="N68" s="46"/>
      <c r="O68" s="57">
        <f t="shared" si="9"/>
        <v>0</v>
      </c>
    </row>
    <row r="69" spans="1:15" x14ac:dyDescent="0.4">
      <c r="A69" s="3" t="s">
        <v>71</v>
      </c>
      <c r="B69" s="63"/>
      <c r="C69" s="46"/>
      <c r="D69" s="46"/>
      <c r="E69" s="46"/>
      <c r="F69" s="46"/>
      <c r="G69" s="46"/>
      <c r="H69" s="46"/>
      <c r="I69" s="51"/>
      <c r="J69" s="46"/>
      <c r="K69" s="46"/>
      <c r="L69" s="46"/>
      <c r="M69" s="46"/>
      <c r="N69" s="46"/>
      <c r="O69" s="57">
        <f t="shared" si="9"/>
        <v>0</v>
      </c>
    </row>
    <row r="70" spans="1:15" x14ac:dyDescent="0.4">
      <c r="A70" s="3" t="s">
        <v>72</v>
      </c>
      <c r="B70" s="63"/>
      <c r="C70" s="46"/>
      <c r="D70" s="46"/>
      <c r="E70" s="46"/>
      <c r="F70" s="46"/>
      <c r="G70" s="46"/>
      <c r="H70" s="46"/>
      <c r="I70" s="51"/>
      <c r="J70" s="46"/>
      <c r="K70" s="46"/>
      <c r="L70" s="46"/>
      <c r="M70" s="46"/>
      <c r="N70" s="46"/>
      <c r="O70" s="57">
        <f t="shared" si="9"/>
        <v>0</v>
      </c>
    </row>
    <row r="71" spans="1:15" x14ac:dyDescent="0.4">
      <c r="A71" s="3" t="s">
        <v>73</v>
      </c>
      <c r="B71" s="63"/>
      <c r="C71" s="46"/>
      <c r="D71" s="46"/>
      <c r="E71" s="46"/>
      <c r="F71" s="46"/>
      <c r="G71" s="46"/>
      <c r="H71" s="46"/>
      <c r="I71" s="51"/>
      <c r="J71" s="46"/>
      <c r="K71" s="46"/>
      <c r="L71" s="46"/>
      <c r="M71" s="46"/>
      <c r="N71" s="46"/>
      <c r="O71" s="57">
        <f t="shared" si="9"/>
        <v>0</v>
      </c>
    </row>
    <row r="72" spans="1:15" x14ac:dyDescent="0.4">
      <c r="A72" s="3" t="s">
        <v>74</v>
      </c>
      <c r="B72" s="63"/>
      <c r="C72" s="46"/>
      <c r="D72" s="46"/>
      <c r="E72" s="46"/>
      <c r="F72" s="46"/>
      <c r="G72" s="46"/>
      <c r="H72" s="46"/>
      <c r="I72" s="51"/>
      <c r="J72" s="46"/>
      <c r="K72" s="46"/>
      <c r="L72" s="46"/>
      <c r="M72" s="46"/>
      <c r="N72" s="46"/>
      <c r="O72" s="57">
        <f t="shared" si="9"/>
        <v>0</v>
      </c>
    </row>
    <row r="73" spans="1:15" ht="13" thickBot="1" x14ac:dyDescent="0.45">
      <c r="A73" s="21" t="s">
        <v>55</v>
      </c>
      <c r="B73" s="82"/>
      <c r="C73" s="43" t="str">
        <f t="shared" ref="C73:N73" si="10">IF(SUM(C67:C72)=SUM(C34+C36),"OK","ERRO!")</f>
        <v>ERRO!</v>
      </c>
      <c r="D73" s="43" t="str">
        <f t="shared" si="10"/>
        <v>OK</v>
      </c>
      <c r="E73" s="43" t="str">
        <f t="shared" si="10"/>
        <v>OK</v>
      </c>
      <c r="F73" s="43" t="str">
        <f t="shared" si="10"/>
        <v>OK</v>
      </c>
      <c r="G73" s="43" t="str">
        <f t="shared" si="10"/>
        <v>OK</v>
      </c>
      <c r="H73" s="43" t="str">
        <f t="shared" si="10"/>
        <v>OK</v>
      </c>
      <c r="I73" s="43" t="str">
        <f t="shared" si="10"/>
        <v>OK</v>
      </c>
      <c r="J73" s="43" t="str">
        <f t="shared" si="10"/>
        <v>OK</v>
      </c>
      <c r="K73" s="43" t="str">
        <f t="shared" si="10"/>
        <v>OK</v>
      </c>
      <c r="L73" s="43" t="str">
        <f t="shared" si="10"/>
        <v>OK</v>
      </c>
      <c r="M73" s="43" t="str">
        <f t="shared" si="10"/>
        <v>OK</v>
      </c>
      <c r="N73" s="43" t="str">
        <f t="shared" si="10"/>
        <v>OK</v>
      </c>
      <c r="O73" s="35">
        <f>SUM(O67:O72)</f>
        <v>0</v>
      </c>
    </row>
    <row r="74" spans="1:15" ht="14" thickBot="1" x14ac:dyDescent="0.45">
      <c r="A74" s="101" t="s">
        <v>75</v>
      </c>
      <c r="B74" s="101"/>
      <c r="C74" s="101"/>
      <c r="D74" s="101"/>
      <c r="E74" s="101"/>
      <c r="F74" s="101"/>
      <c r="G74" s="101"/>
      <c r="H74" s="101"/>
      <c r="I74" s="101"/>
      <c r="J74" s="101"/>
      <c r="K74" s="101"/>
      <c r="L74" s="101"/>
      <c r="M74" s="101"/>
      <c r="N74" s="101"/>
      <c r="O74" s="101"/>
    </row>
    <row r="75" spans="1:15" ht="13.7" x14ac:dyDescent="0.4">
      <c r="A75" s="17"/>
      <c r="B75" s="17"/>
      <c r="C75" s="86" t="s">
        <v>68</v>
      </c>
      <c r="D75" s="86"/>
      <c r="E75" s="86"/>
      <c r="F75" s="86"/>
      <c r="G75" s="86"/>
      <c r="H75" s="86"/>
      <c r="I75" s="86"/>
      <c r="J75" s="86"/>
      <c r="K75" s="86"/>
      <c r="L75" s="86"/>
      <c r="M75" s="86"/>
      <c r="N75" s="86"/>
      <c r="O75" s="86"/>
    </row>
    <row r="76" spans="1:15" x14ac:dyDescent="0.4">
      <c r="B76" s="39">
        <v>2024</v>
      </c>
      <c r="C76" s="29" t="s">
        <v>11</v>
      </c>
      <c r="D76" s="29" t="s">
        <v>12</v>
      </c>
      <c r="E76" s="29" t="s">
        <v>13</v>
      </c>
      <c r="F76" s="29" t="s">
        <v>14</v>
      </c>
      <c r="G76" s="29" t="s">
        <v>15</v>
      </c>
      <c r="H76" s="29" t="s">
        <v>16</v>
      </c>
      <c r="I76" s="29" t="s">
        <v>17</v>
      </c>
      <c r="J76" s="29" t="s">
        <v>18</v>
      </c>
      <c r="K76" s="29" t="s">
        <v>19</v>
      </c>
      <c r="L76" s="29" t="s">
        <v>20</v>
      </c>
      <c r="M76" s="29" t="s">
        <v>21</v>
      </c>
      <c r="N76" s="29" t="s">
        <v>22</v>
      </c>
      <c r="O76" s="36" t="s">
        <v>23</v>
      </c>
    </row>
    <row r="77" spans="1:15" x14ac:dyDescent="0.4">
      <c r="A77" s="3" t="s">
        <v>76</v>
      </c>
      <c r="B77" s="63"/>
      <c r="C77" s="63"/>
      <c r="D77" s="63"/>
      <c r="E77" s="63"/>
      <c r="F77" s="63"/>
      <c r="G77" s="63"/>
      <c r="H77" s="63"/>
      <c r="I77" s="63"/>
      <c r="J77" s="63"/>
      <c r="K77" s="63"/>
      <c r="L77" s="63"/>
      <c r="M77" s="63"/>
      <c r="N77" s="63"/>
      <c r="O77" s="57">
        <f t="shared" ref="O77:O84" si="11">SUM(B77:N77)</f>
        <v>0</v>
      </c>
    </row>
    <row r="78" spans="1:15" x14ac:dyDescent="0.4">
      <c r="A78" s="3" t="s">
        <v>77</v>
      </c>
      <c r="B78" s="63"/>
      <c r="C78" s="46"/>
      <c r="D78" s="46"/>
      <c r="E78" s="46"/>
      <c r="F78" s="46"/>
      <c r="G78" s="46"/>
      <c r="H78" s="46"/>
      <c r="I78" s="51"/>
      <c r="J78" s="46"/>
      <c r="K78" s="46"/>
      <c r="L78" s="46"/>
      <c r="M78" s="46"/>
      <c r="N78" s="46"/>
      <c r="O78" s="57">
        <f t="shared" si="11"/>
        <v>0</v>
      </c>
    </row>
    <row r="79" spans="1:15" x14ac:dyDescent="0.4">
      <c r="A79" s="3" t="s">
        <v>78</v>
      </c>
      <c r="B79" s="63"/>
      <c r="C79" s="46"/>
      <c r="D79" s="46"/>
      <c r="E79" s="46"/>
      <c r="F79" s="46"/>
      <c r="G79" s="46"/>
      <c r="H79" s="46"/>
      <c r="I79" s="51"/>
      <c r="J79" s="46"/>
      <c r="K79" s="46"/>
      <c r="L79" s="46"/>
      <c r="M79" s="46"/>
      <c r="N79" s="46"/>
      <c r="O79" s="57">
        <f t="shared" si="11"/>
        <v>0</v>
      </c>
    </row>
    <row r="80" spans="1:15" ht="15" customHeight="1" x14ac:dyDescent="0.4">
      <c r="A80" s="3" t="s">
        <v>79</v>
      </c>
      <c r="B80" s="63"/>
      <c r="C80" s="46"/>
      <c r="D80" s="46"/>
      <c r="E80" s="46"/>
      <c r="F80" s="46"/>
      <c r="G80" s="46"/>
      <c r="H80" s="46"/>
      <c r="I80" s="51"/>
      <c r="J80" s="46"/>
      <c r="K80" s="46"/>
      <c r="L80" s="46"/>
      <c r="M80" s="46"/>
      <c r="N80" s="46"/>
      <c r="O80" s="57">
        <f t="shared" si="11"/>
        <v>0</v>
      </c>
    </row>
    <row r="81" spans="1:15" ht="15" customHeight="1" x14ac:dyDescent="0.4">
      <c r="A81" s="3" t="s">
        <v>80</v>
      </c>
      <c r="B81" s="63"/>
      <c r="C81" s="46"/>
      <c r="D81" s="46"/>
      <c r="E81" s="46"/>
      <c r="F81" s="46"/>
      <c r="G81" s="46"/>
      <c r="H81" s="46"/>
      <c r="I81" s="51"/>
      <c r="J81" s="46"/>
      <c r="K81" s="46"/>
      <c r="L81" s="46"/>
      <c r="M81" s="46"/>
      <c r="N81" s="46"/>
      <c r="O81" s="57">
        <f t="shared" si="11"/>
        <v>0</v>
      </c>
    </row>
    <row r="82" spans="1:15" ht="15" customHeight="1" x14ac:dyDescent="0.4">
      <c r="A82" s="3" t="s">
        <v>81</v>
      </c>
      <c r="B82" s="63"/>
      <c r="C82" s="46"/>
      <c r="D82" s="46"/>
      <c r="E82" s="46"/>
      <c r="F82" s="46"/>
      <c r="G82" s="46"/>
      <c r="H82" s="46"/>
      <c r="I82" s="51"/>
      <c r="J82" s="46"/>
      <c r="K82" s="46"/>
      <c r="L82" s="46"/>
      <c r="M82" s="46"/>
      <c r="N82" s="46"/>
      <c r="O82" s="57">
        <f t="shared" si="11"/>
        <v>0</v>
      </c>
    </row>
    <row r="83" spans="1:15" ht="15" customHeight="1" x14ac:dyDescent="0.4">
      <c r="A83" s="3" t="s">
        <v>82</v>
      </c>
      <c r="B83" s="63"/>
      <c r="C83" s="46"/>
      <c r="D83" s="46"/>
      <c r="E83" s="46"/>
      <c r="F83" s="46"/>
      <c r="G83" s="46"/>
      <c r="H83" s="46"/>
      <c r="I83" s="51"/>
      <c r="J83" s="46"/>
      <c r="K83" s="46"/>
      <c r="L83" s="46"/>
      <c r="M83" s="46"/>
      <c r="N83" s="46"/>
      <c r="O83" s="57">
        <f t="shared" si="11"/>
        <v>0</v>
      </c>
    </row>
    <row r="84" spans="1:15" ht="15" customHeight="1" x14ac:dyDescent="0.4">
      <c r="A84" s="3" t="s">
        <v>83</v>
      </c>
      <c r="B84" s="63"/>
      <c r="C84" s="46"/>
      <c r="D84" s="46"/>
      <c r="E84" s="46"/>
      <c r="F84" s="46"/>
      <c r="G84" s="46"/>
      <c r="H84" s="46"/>
      <c r="I84" s="51"/>
      <c r="J84" s="46"/>
      <c r="K84" s="46"/>
      <c r="L84" s="46"/>
      <c r="M84" s="46"/>
      <c r="N84" s="46"/>
      <c r="O84" s="57">
        <f t="shared" si="11"/>
        <v>0</v>
      </c>
    </row>
    <row r="85" spans="1:15" ht="15" customHeight="1" thickBot="1" x14ac:dyDescent="0.45">
      <c r="A85" s="21" t="s">
        <v>55</v>
      </c>
      <c r="B85" s="21"/>
      <c r="C85" s="43" t="str">
        <f t="shared" ref="C85:N85" si="12">IF(SUM(C77:C84)=SUM(C34+C36),"OK","ERRO!")</f>
        <v>ERRO!</v>
      </c>
      <c r="D85" s="43" t="str">
        <f t="shared" si="12"/>
        <v>OK</v>
      </c>
      <c r="E85" s="43" t="str">
        <f t="shared" si="12"/>
        <v>OK</v>
      </c>
      <c r="F85" s="43" t="str">
        <f t="shared" si="12"/>
        <v>OK</v>
      </c>
      <c r="G85" s="43" t="str">
        <f t="shared" si="12"/>
        <v>OK</v>
      </c>
      <c r="H85" s="43" t="str">
        <f t="shared" si="12"/>
        <v>OK</v>
      </c>
      <c r="I85" s="43" t="str">
        <f t="shared" si="12"/>
        <v>OK</v>
      </c>
      <c r="J85" s="43" t="str">
        <f t="shared" si="12"/>
        <v>OK</v>
      </c>
      <c r="K85" s="43" t="str">
        <f t="shared" si="12"/>
        <v>OK</v>
      </c>
      <c r="L85" s="43" t="str">
        <f t="shared" si="12"/>
        <v>OK</v>
      </c>
      <c r="M85" s="43" t="str">
        <f t="shared" si="12"/>
        <v>OK</v>
      </c>
      <c r="N85" s="43" t="str">
        <f t="shared" si="12"/>
        <v>OK</v>
      </c>
      <c r="O85" s="35">
        <f>SUM(O77:O84)</f>
        <v>0</v>
      </c>
    </row>
    <row r="86" spans="1:15" ht="15" customHeight="1" thickBot="1" x14ac:dyDescent="0.45">
      <c r="A86" s="101" t="s">
        <v>84</v>
      </c>
      <c r="B86" s="101"/>
      <c r="C86" s="101"/>
      <c r="D86" s="101"/>
      <c r="E86" s="101"/>
      <c r="F86" s="101"/>
      <c r="G86" s="101"/>
      <c r="H86" s="101"/>
      <c r="I86" s="101"/>
      <c r="J86" s="101"/>
      <c r="K86" s="101"/>
      <c r="L86" s="101"/>
      <c r="M86" s="101"/>
      <c r="N86" s="101"/>
      <c r="O86" s="101"/>
    </row>
    <row r="87" spans="1:15" ht="15" customHeight="1" x14ac:dyDescent="0.4">
      <c r="C87" s="94" t="s">
        <v>68</v>
      </c>
      <c r="D87" s="94"/>
      <c r="E87" s="94"/>
      <c r="F87" s="94"/>
      <c r="G87" s="94"/>
      <c r="H87" s="94"/>
      <c r="I87" s="94"/>
      <c r="J87" s="94"/>
      <c r="K87" s="94"/>
      <c r="L87" s="94"/>
      <c r="M87" s="94"/>
      <c r="N87" s="94"/>
      <c r="O87" s="94"/>
    </row>
    <row r="88" spans="1:15" ht="15" customHeight="1" x14ac:dyDescent="0.4">
      <c r="B88" s="39">
        <v>2024</v>
      </c>
      <c r="C88" s="29" t="s">
        <v>11</v>
      </c>
      <c r="D88" s="29" t="s">
        <v>12</v>
      </c>
      <c r="E88" s="29" t="s">
        <v>13</v>
      </c>
      <c r="F88" s="29" t="s">
        <v>14</v>
      </c>
      <c r="G88" s="29" t="s">
        <v>15</v>
      </c>
      <c r="H88" s="29" t="s">
        <v>16</v>
      </c>
      <c r="I88" s="29" t="s">
        <v>17</v>
      </c>
      <c r="J88" s="29" t="s">
        <v>18</v>
      </c>
      <c r="K88" s="29" t="s">
        <v>19</v>
      </c>
      <c r="L88" s="29" t="s">
        <v>20</v>
      </c>
      <c r="M88" s="29" t="s">
        <v>21</v>
      </c>
      <c r="N88" s="29" t="s">
        <v>22</v>
      </c>
      <c r="O88" s="36" t="s">
        <v>23</v>
      </c>
    </row>
    <row r="89" spans="1:15" ht="15" customHeight="1" x14ac:dyDescent="0.4">
      <c r="A89" s="3" t="s">
        <v>85</v>
      </c>
      <c r="B89" s="46"/>
      <c r="C89" s="46"/>
      <c r="D89" s="46"/>
      <c r="E89" s="46"/>
      <c r="F89" s="46"/>
      <c r="G89" s="46"/>
      <c r="H89" s="46"/>
      <c r="I89" s="51"/>
      <c r="J89" s="51"/>
      <c r="K89" s="46"/>
      <c r="L89" s="51"/>
      <c r="M89" s="46"/>
      <c r="N89" s="52"/>
      <c r="O89" s="33">
        <f t="shared" ref="O89:O94" si="13">SUM(B89:N89)</f>
        <v>0</v>
      </c>
    </row>
    <row r="90" spans="1:15" ht="15" customHeight="1" x14ac:dyDescent="0.4">
      <c r="A90" s="3" t="s">
        <v>86</v>
      </c>
      <c r="B90" s="46"/>
      <c r="C90" s="52"/>
      <c r="D90" s="52"/>
      <c r="E90" s="52"/>
      <c r="F90" s="52"/>
      <c r="G90" s="52"/>
      <c r="H90" s="52"/>
      <c r="I90" s="52"/>
      <c r="J90" s="52"/>
      <c r="K90" s="52"/>
      <c r="L90" s="52"/>
      <c r="M90" s="52"/>
      <c r="N90" s="52"/>
      <c r="O90" s="33">
        <f t="shared" si="13"/>
        <v>0</v>
      </c>
    </row>
    <row r="91" spans="1:15" ht="15" customHeight="1" x14ac:dyDescent="0.4">
      <c r="A91" s="3" t="s">
        <v>87</v>
      </c>
      <c r="B91" s="46"/>
      <c r="C91" s="52"/>
      <c r="D91" s="52"/>
      <c r="E91" s="52"/>
      <c r="F91" s="52"/>
      <c r="G91" s="46"/>
      <c r="H91" s="52"/>
      <c r="I91" s="52"/>
      <c r="J91" s="52"/>
      <c r="K91" s="52"/>
      <c r="L91" s="52"/>
      <c r="M91" s="46"/>
      <c r="N91" s="52"/>
      <c r="O91" s="33">
        <f t="shared" si="13"/>
        <v>0</v>
      </c>
    </row>
    <row r="92" spans="1:15" ht="15" customHeight="1" x14ac:dyDescent="0.4">
      <c r="A92" s="3" t="s">
        <v>88</v>
      </c>
      <c r="B92" s="46"/>
      <c r="C92" s="52"/>
      <c r="D92" s="52"/>
      <c r="E92" s="52"/>
      <c r="F92" s="52"/>
      <c r="G92" s="52"/>
      <c r="H92" s="52"/>
      <c r="I92" s="52"/>
      <c r="J92" s="52"/>
      <c r="K92" s="52"/>
      <c r="L92" s="52"/>
      <c r="M92" s="52"/>
      <c r="N92" s="52"/>
      <c r="O92" s="33">
        <f t="shared" si="13"/>
        <v>0</v>
      </c>
    </row>
    <row r="93" spans="1:15" ht="15" customHeight="1" x14ac:dyDescent="0.4">
      <c r="A93" s="3" t="s">
        <v>89</v>
      </c>
      <c r="B93" s="46"/>
      <c r="C93" s="52"/>
      <c r="D93" s="52"/>
      <c r="E93" s="52"/>
      <c r="F93" s="52"/>
      <c r="G93" s="52"/>
      <c r="H93" s="52"/>
      <c r="I93" s="52"/>
      <c r="J93" s="52"/>
      <c r="K93" s="52"/>
      <c r="L93" s="52"/>
      <c r="M93" s="52"/>
      <c r="N93" s="52"/>
      <c r="O93" s="33">
        <f t="shared" si="13"/>
        <v>0</v>
      </c>
    </row>
    <row r="94" spans="1:15" ht="15" customHeight="1" x14ac:dyDescent="0.4">
      <c r="A94" s="3" t="s">
        <v>83</v>
      </c>
      <c r="B94" s="46"/>
      <c r="C94" s="52"/>
      <c r="D94" s="52"/>
      <c r="E94" s="52"/>
      <c r="F94" s="52"/>
      <c r="G94" s="52"/>
      <c r="H94" s="52"/>
      <c r="I94" s="52"/>
      <c r="J94" s="52"/>
      <c r="K94" s="52"/>
      <c r="L94" s="52"/>
      <c r="M94" s="52"/>
      <c r="N94" s="52"/>
      <c r="O94" s="33">
        <f t="shared" si="13"/>
        <v>0</v>
      </c>
    </row>
    <row r="95" spans="1:15" ht="15" customHeight="1" thickBot="1" x14ac:dyDescent="0.45">
      <c r="A95" s="21" t="s">
        <v>55</v>
      </c>
      <c r="B95" s="21"/>
      <c r="C95" s="43" t="str">
        <f t="shared" ref="C95:N95" si="14">IF(SUM(C89:C94)=SUM(C34+C36),"OK","ERRO!")</f>
        <v>ERRO!</v>
      </c>
      <c r="D95" s="43" t="str">
        <f t="shared" si="14"/>
        <v>OK</v>
      </c>
      <c r="E95" s="43" t="str">
        <f t="shared" si="14"/>
        <v>OK</v>
      </c>
      <c r="F95" s="43" t="str">
        <f t="shared" si="14"/>
        <v>OK</v>
      </c>
      <c r="G95" s="43" t="str">
        <f t="shared" si="14"/>
        <v>OK</v>
      </c>
      <c r="H95" s="43" t="str">
        <f t="shared" si="14"/>
        <v>OK</v>
      </c>
      <c r="I95" s="43" t="str">
        <f t="shared" si="14"/>
        <v>OK</v>
      </c>
      <c r="J95" s="43" t="str">
        <f t="shared" si="14"/>
        <v>OK</v>
      </c>
      <c r="K95" s="43" t="str">
        <f t="shared" si="14"/>
        <v>OK</v>
      </c>
      <c r="L95" s="43" t="str">
        <f t="shared" si="14"/>
        <v>OK</v>
      </c>
      <c r="M95" s="43" t="str">
        <f t="shared" si="14"/>
        <v>OK</v>
      </c>
      <c r="N95" s="43" t="str">
        <f t="shared" si="14"/>
        <v>OK</v>
      </c>
      <c r="O95" s="35">
        <f>SUM(O89:O94)</f>
        <v>0</v>
      </c>
    </row>
    <row r="96" spans="1:15" ht="15" customHeight="1" thickBot="1" x14ac:dyDescent="0.45">
      <c r="A96" s="101" t="s">
        <v>90</v>
      </c>
      <c r="B96" s="101"/>
      <c r="C96" s="101"/>
      <c r="D96" s="101"/>
      <c r="E96" s="101"/>
      <c r="F96" s="101"/>
      <c r="G96" s="101"/>
      <c r="H96" s="101"/>
      <c r="I96" s="101"/>
      <c r="J96" s="101"/>
      <c r="K96" s="101"/>
      <c r="L96" s="101"/>
      <c r="M96" s="101"/>
      <c r="N96" s="101"/>
      <c r="O96" s="101"/>
    </row>
    <row r="97" spans="1:15" ht="15" customHeight="1" x14ac:dyDescent="0.4">
      <c r="A97" s="20"/>
      <c r="B97" s="20"/>
      <c r="C97" s="86" t="s">
        <v>68</v>
      </c>
      <c r="D97" s="86"/>
      <c r="E97" s="86"/>
      <c r="F97" s="86"/>
      <c r="G97" s="86"/>
      <c r="H97" s="86"/>
      <c r="I97" s="86"/>
      <c r="J97" s="86"/>
      <c r="K97" s="86"/>
      <c r="L97" s="86"/>
      <c r="M97" s="86"/>
      <c r="N97" s="86"/>
      <c r="O97" s="86"/>
    </row>
    <row r="98" spans="1:15" ht="15" customHeight="1" x14ac:dyDescent="0.4">
      <c r="B98" s="39">
        <v>2024</v>
      </c>
      <c r="C98" s="29" t="s">
        <v>11</v>
      </c>
      <c r="D98" s="29" t="s">
        <v>12</v>
      </c>
      <c r="E98" s="29" t="s">
        <v>13</v>
      </c>
      <c r="F98" s="29" t="s">
        <v>14</v>
      </c>
      <c r="G98" s="29" t="s">
        <v>28</v>
      </c>
      <c r="H98" s="29" t="s">
        <v>16</v>
      </c>
      <c r="I98" s="30" t="s">
        <v>17</v>
      </c>
      <c r="J98" s="30" t="s">
        <v>29</v>
      </c>
      <c r="K98" s="30" t="s">
        <v>19</v>
      </c>
      <c r="L98" s="30" t="s">
        <v>20</v>
      </c>
      <c r="M98" s="30" t="s">
        <v>21</v>
      </c>
      <c r="N98" s="30" t="s">
        <v>22</v>
      </c>
      <c r="O98" s="36" t="s">
        <v>23</v>
      </c>
    </row>
    <row r="99" spans="1:15" ht="15" customHeight="1" x14ac:dyDescent="0.4">
      <c r="A99" s="28" t="s">
        <v>91</v>
      </c>
      <c r="B99" s="46"/>
      <c r="C99" s="60"/>
      <c r="D99" s="60"/>
      <c r="E99" s="60"/>
      <c r="F99" s="60"/>
      <c r="G99" s="60"/>
      <c r="H99" s="60"/>
      <c r="I99" s="61"/>
      <c r="J99" s="61"/>
      <c r="K99" s="61"/>
      <c r="L99" s="61"/>
      <c r="M99" s="60"/>
      <c r="N99" s="62"/>
      <c r="O99" s="33">
        <f t="shared" ref="O99:O111" si="15">SUM(B99:N99)</f>
        <v>0</v>
      </c>
    </row>
    <row r="100" spans="1:15" ht="15" customHeight="1" x14ac:dyDescent="0.4">
      <c r="A100" s="28" t="s">
        <v>92</v>
      </c>
      <c r="B100" s="46"/>
      <c r="C100" s="46"/>
      <c r="D100" s="46"/>
      <c r="E100" s="46"/>
      <c r="F100" s="46"/>
      <c r="G100" s="46"/>
      <c r="H100" s="46"/>
      <c r="I100" s="51"/>
      <c r="J100" s="51"/>
      <c r="K100" s="51"/>
      <c r="L100" s="51"/>
      <c r="M100" s="46"/>
      <c r="N100" s="52"/>
      <c r="O100" s="33">
        <f t="shared" si="15"/>
        <v>0</v>
      </c>
    </row>
    <row r="101" spans="1:15" ht="15" customHeight="1" x14ac:dyDescent="0.4">
      <c r="A101" s="28" t="s">
        <v>93</v>
      </c>
      <c r="B101" s="46"/>
      <c r="C101" s="46"/>
      <c r="D101" s="46"/>
      <c r="E101" s="46"/>
      <c r="F101" s="46"/>
      <c r="G101" s="46"/>
      <c r="H101" s="46"/>
      <c r="I101" s="51"/>
      <c r="J101" s="51"/>
      <c r="K101" s="51"/>
      <c r="L101" s="51"/>
      <c r="M101" s="46"/>
      <c r="N101" s="52"/>
      <c r="O101" s="33">
        <f t="shared" si="15"/>
        <v>0</v>
      </c>
    </row>
    <row r="102" spans="1:15" ht="15" customHeight="1" x14ac:dyDescent="0.4">
      <c r="A102" s="28" t="s">
        <v>94</v>
      </c>
      <c r="B102" s="46"/>
      <c r="C102" s="46"/>
      <c r="D102" s="46"/>
      <c r="E102" s="46"/>
      <c r="F102" s="46"/>
      <c r="G102" s="46"/>
      <c r="H102" s="46"/>
      <c r="I102" s="51"/>
      <c r="J102" s="51"/>
      <c r="K102" s="51"/>
      <c r="L102" s="51"/>
      <c r="M102" s="46"/>
      <c r="N102" s="52"/>
      <c r="O102" s="33">
        <f t="shared" si="15"/>
        <v>0</v>
      </c>
    </row>
    <row r="103" spans="1:15" ht="15" customHeight="1" x14ac:dyDescent="0.4">
      <c r="A103" s="28" t="s">
        <v>95</v>
      </c>
      <c r="B103" s="46"/>
      <c r="C103" s="46"/>
      <c r="D103" s="46"/>
      <c r="E103" s="46"/>
      <c r="F103" s="46"/>
      <c r="G103" s="46"/>
      <c r="H103" s="46"/>
      <c r="I103" s="51"/>
      <c r="J103" s="51"/>
      <c r="K103" s="51"/>
      <c r="L103" s="51"/>
      <c r="M103" s="46"/>
      <c r="N103" s="52"/>
      <c r="O103" s="33">
        <f t="shared" si="15"/>
        <v>0</v>
      </c>
    </row>
    <row r="104" spans="1:15" ht="15" customHeight="1" x14ac:dyDescent="0.4">
      <c r="A104" s="28" t="s">
        <v>96</v>
      </c>
      <c r="B104" s="46"/>
      <c r="C104" s="46"/>
      <c r="D104" s="46"/>
      <c r="E104" s="46"/>
      <c r="F104" s="46"/>
      <c r="G104" s="46"/>
      <c r="H104" s="46"/>
      <c r="I104" s="51"/>
      <c r="J104" s="51"/>
      <c r="K104" s="51"/>
      <c r="L104" s="51"/>
      <c r="M104" s="46"/>
      <c r="N104" s="52"/>
      <c r="O104" s="33">
        <f t="shared" si="15"/>
        <v>0</v>
      </c>
    </row>
    <row r="105" spans="1:15" ht="15" customHeight="1" x14ac:dyDescent="0.4">
      <c r="A105" s="28" t="s">
        <v>97</v>
      </c>
      <c r="B105" s="46"/>
      <c r="C105" s="46"/>
      <c r="D105" s="46"/>
      <c r="E105" s="46"/>
      <c r="F105" s="46"/>
      <c r="G105" s="46"/>
      <c r="H105" s="46"/>
      <c r="I105" s="51"/>
      <c r="J105" s="51"/>
      <c r="K105" s="51"/>
      <c r="L105" s="51"/>
      <c r="M105" s="51"/>
      <c r="N105" s="52"/>
      <c r="O105" s="33">
        <f t="shared" si="15"/>
        <v>0</v>
      </c>
    </row>
    <row r="106" spans="1:15" ht="15" customHeight="1" x14ac:dyDescent="0.4">
      <c r="A106" s="28" t="s">
        <v>98</v>
      </c>
      <c r="B106" s="46"/>
      <c r="C106" s="46"/>
      <c r="D106" s="46"/>
      <c r="E106" s="46"/>
      <c r="F106" s="46"/>
      <c r="G106" s="46"/>
      <c r="H106" s="46"/>
      <c r="I106" s="51"/>
      <c r="J106" s="51"/>
      <c r="K106" s="51"/>
      <c r="L106" s="51"/>
      <c r="M106" s="46"/>
      <c r="N106" s="52"/>
      <c r="O106" s="33">
        <f t="shared" si="15"/>
        <v>0</v>
      </c>
    </row>
    <row r="107" spans="1:15" ht="15" customHeight="1" x14ac:dyDescent="0.4">
      <c r="A107" s="28" t="s">
        <v>99</v>
      </c>
      <c r="B107" s="46"/>
      <c r="C107" s="46"/>
      <c r="D107" s="46"/>
      <c r="E107" s="46"/>
      <c r="F107" s="46"/>
      <c r="G107" s="46"/>
      <c r="H107" s="46"/>
      <c r="I107" s="51"/>
      <c r="J107" s="51"/>
      <c r="K107" s="51"/>
      <c r="L107" s="51"/>
      <c r="M107" s="46"/>
      <c r="N107" s="52"/>
      <c r="O107" s="33">
        <f t="shared" si="15"/>
        <v>0</v>
      </c>
    </row>
    <row r="108" spans="1:15" ht="15" customHeight="1" x14ac:dyDescent="0.4">
      <c r="A108" s="28" t="s">
        <v>100</v>
      </c>
      <c r="B108" s="46"/>
      <c r="C108" s="46"/>
      <c r="D108" s="46"/>
      <c r="E108" s="46"/>
      <c r="F108" s="46"/>
      <c r="G108" s="46"/>
      <c r="H108" s="46"/>
      <c r="I108" s="51"/>
      <c r="J108" s="51"/>
      <c r="K108" s="51"/>
      <c r="L108" s="51"/>
      <c r="M108" s="51"/>
      <c r="N108" s="52"/>
      <c r="O108" s="33">
        <f t="shared" si="15"/>
        <v>0</v>
      </c>
    </row>
    <row r="109" spans="1:15" ht="15" customHeight="1" x14ac:dyDescent="0.4">
      <c r="A109" s="28" t="s">
        <v>101</v>
      </c>
      <c r="B109" s="46"/>
      <c r="C109" s="46"/>
      <c r="D109" s="46"/>
      <c r="E109" s="46"/>
      <c r="F109" s="46"/>
      <c r="G109" s="46"/>
      <c r="H109" s="46"/>
      <c r="I109" s="51"/>
      <c r="J109" s="51"/>
      <c r="K109" s="51"/>
      <c r="L109" s="51"/>
      <c r="M109" s="51"/>
      <c r="N109" s="52"/>
      <c r="O109" s="33">
        <f t="shared" si="15"/>
        <v>0</v>
      </c>
    </row>
    <row r="110" spans="1:15" ht="15" customHeight="1" x14ac:dyDescent="0.4">
      <c r="A110" s="28" t="s">
        <v>102</v>
      </c>
      <c r="B110" s="46"/>
      <c r="C110" s="46"/>
      <c r="D110" s="46"/>
      <c r="E110" s="46"/>
      <c r="F110" s="46"/>
      <c r="G110" s="46"/>
      <c r="H110" s="46"/>
      <c r="I110" s="51"/>
      <c r="J110" s="51"/>
      <c r="K110" s="51"/>
      <c r="L110" s="51"/>
      <c r="M110" s="51"/>
      <c r="N110" s="52"/>
      <c r="O110" s="33">
        <f t="shared" si="15"/>
        <v>0</v>
      </c>
    </row>
    <row r="111" spans="1:15" ht="15" customHeight="1" x14ac:dyDescent="0.4">
      <c r="A111" s="28" t="s">
        <v>103</v>
      </c>
      <c r="B111" s="55"/>
      <c r="C111" s="46"/>
      <c r="D111" s="46"/>
      <c r="E111" s="46"/>
      <c r="F111" s="46"/>
      <c r="G111" s="46"/>
      <c r="H111" s="46"/>
      <c r="I111" s="51"/>
      <c r="J111" s="51"/>
      <c r="K111" s="51"/>
      <c r="L111" s="51"/>
      <c r="M111" s="51"/>
      <c r="N111" s="52"/>
      <c r="O111" s="33">
        <f t="shared" si="15"/>
        <v>0</v>
      </c>
    </row>
    <row r="112" spans="1:15" ht="15" customHeight="1" thickBot="1" x14ac:dyDescent="0.45">
      <c r="A112" s="21" t="s">
        <v>55</v>
      </c>
      <c r="B112" s="82"/>
      <c r="C112" s="22" t="str">
        <f t="shared" ref="C112:N112" si="16">IF(SUM(C99:C111)=SUM(C34+C36),"OK","ERRO!")</f>
        <v>ERRO!</v>
      </c>
      <c r="D112" s="22" t="str">
        <f t="shared" si="16"/>
        <v>OK</v>
      </c>
      <c r="E112" s="22" t="str">
        <f t="shared" si="16"/>
        <v>OK</v>
      </c>
      <c r="F112" s="22" t="str">
        <f t="shared" si="16"/>
        <v>OK</v>
      </c>
      <c r="G112" s="22" t="str">
        <f t="shared" si="16"/>
        <v>OK</v>
      </c>
      <c r="H112" s="22" t="str">
        <f t="shared" si="16"/>
        <v>OK</v>
      </c>
      <c r="I112" s="22" t="str">
        <f t="shared" si="16"/>
        <v>OK</v>
      </c>
      <c r="J112" s="22" t="str">
        <f t="shared" si="16"/>
        <v>OK</v>
      </c>
      <c r="K112" s="22" t="str">
        <f t="shared" si="16"/>
        <v>OK</v>
      </c>
      <c r="L112" s="22" t="str">
        <f t="shared" si="16"/>
        <v>OK</v>
      </c>
      <c r="M112" s="22" t="str">
        <f t="shared" si="16"/>
        <v>OK</v>
      </c>
      <c r="N112" s="22" t="str">
        <f t="shared" si="16"/>
        <v>OK</v>
      </c>
      <c r="O112" s="35">
        <f>SUM(O99:O111)</f>
        <v>0</v>
      </c>
    </row>
    <row r="113" spans="1:31" ht="15" customHeight="1" thickBot="1" x14ac:dyDescent="0.45">
      <c r="A113" s="100" t="s">
        <v>104</v>
      </c>
      <c r="B113" s="100"/>
      <c r="C113" s="100"/>
      <c r="D113" s="100"/>
      <c r="E113" s="100"/>
      <c r="F113" s="100"/>
      <c r="G113" s="100"/>
      <c r="H113" s="100"/>
      <c r="I113" s="100"/>
      <c r="J113" s="100"/>
      <c r="K113" s="100"/>
      <c r="L113" s="100"/>
      <c r="M113" s="100"/>
      <c r="N113" s="100"/>
      <c r="O113" s="100"/>
      <c r="AE113" s="67"/>
    </row>
    <row r="114" spans="1:31" ht="15" customHeight="1" x14ac:dyDescent="0.4">
      <c r="A114" s="17"/>
      <c r="B114" s="86" t="s">
        <v>68</v>
      </c>
      <c r="C114" s="86"/>
      <c r="D114" s="86"/>
      <c r="E114" s="86"/>
      <c r="F114" s="86"/>
      <c r="G114" s="86"/>
      <c r="H114" s="86"/>
      <c r="I114" s="86"/>
      <c r="J114" s="86"/>
      <c r="K114" s="86"/>
      <c r="L114" s="86"/>
      <c r="M114" s="86"/>
      <c r="N114" s="86"/>
      <c r="O114" s="86"/>
    </row>
    <row r="115" spans="1:31" ht="15" customHeight="1" x14ac:dyDescent="0.4">
      <c r="B115" s="39">
        <v>2024</v>
      </c>
      <c r="C115" s="29" t="s">
        <v>11</v>
      </c>
      <c r="D115" s="29" t="s">
        <v>12</v>
      </c>
      <c r="E115" s="29" t="s">
        <v>13</v>
      </c>
      <c r="F115" s="29" t="s">
        <v>14</v>
      </c>
      <c r="G115" s="29" t="s">
        <v>15</v>
      </c>
      <c r="H115" s="29" t="s">
        <v>16</v>
      </c>
      <c r="I115" s="29" t="s">
        <v>17</v>
      </c>
      <c r="J115" s="29" t="s">
        <v>18</v>
      </c>
      <c r="K115" s="29" t="s">
        <v>19</v>
      </c>
      <c r="L115" s="29" t="s">
        <v>20</v>
      </c>
      <c r="M115" s="29" t="s">
        <v>21</v>
      </c>
      <c r="N115" s="29" t="s">
        <v>22</v>
      </c>
      <c r="O115" s="36" t="s">
        <v>23</v>
      </c>
    </row>
    <row r="116" spans="1:31" ht="15" customHeight="1" x14ac:dyDescent="0.4">
      <c r="A116" s="64" t="s">
        <v>105</v>
      </c>
      <c r="B116" s="66"/>
      <c r="C116" s="66"/>
      <c r="D116" s="66"/>
      <c r="E116" s="66"/>
      <c r="F116" s="66"/>
      <c r="G116" s="66"/>
      <c r="H116" s="66"/>
      <c r="I116" s="66"/>
      <c r="J116" s="66"/>
      <c r="K116" s="66"/>
      <c r="L116" s="66"/>
      <c r="M116" s="66"/>
      <c r="N116" s="66"/>
      <c r="O116" s="57">
        <f>SUM(B116:N116)</f>
        <v>0</v>
      </c>
    </row>
    <row r="117" spans="1:31" ht="15" customHeight="1" x14ac:dyDescent="0.4">
      <c r="A117" s="64" t="s">
        <v>106</v>
      </c>
      <c r="B117" s="66"/>
      <c r="C117" s="66"/>
      <c r="D117" s="66"/>
      <c r="E117" s="66"/>
      <c r="F117" s="66"/>
      <c r="G117" s="66"/>
      <c r="H117" s="66"/>
      <c r="I117" s="66"/>
      <c r="J117" s="66"/>
      <c r="K117" s="66"/>
      <c r="L117" s="66"/>
      <c r="M117" s="66"/>
      <c r="N117" s="66"/>
      <c r="O117" s="57">
        <f>SUM(B117:N117)</f>
        <v>0</v>
      </c>
    </row>
    <row r="118" spans="1:31" ht="15" customHeight="1" x14ac:dyDescent="0.4">
      <c r="A118" s="64" t="s">
        <v>107</v>
      </c>
      <c r="B118" s="66"/>
      <c r="C118" s="66"/>
      <c r="D118" s="66"/>
      <c r="E118" s="66"/>
      <c r="F118" s="66"/>
      <c r="G118" s="66"/>
      <c r="H118" s="66"/>
      <c r="I118" s="66"/>
      <c r="J118" s="66"/>
      <c r="K118" s="66"/>
      <c r="L118" s="66"/>
      <c r="M118" s="66"/>
      <c r="N118" s="66"/>
      <c r="O118" s="57">
        <f>SUM(B118:N118)</f>
        <v>0</v>
      </c>
    </row>
    <row r="119" spans="1:31" ht="15" customHeight="1" x14ac:dyDescent="0.4">
      <c r="A119" s="64" t="s">
        <v>108</v>
      </c>
      <c r="B119" s="66"/>
      <c r="C119" s="66"/>
      <c r="D119" s="66"/>
      <c r="E119" s="66"/>
      <c r="F119" s="66"/>
      <c r="G119" s="66"/>
      <c r="H119" s="66"/>
      <c r="I119" s="66"/>
      <c r="J119" s="66"/>
      <c r="K119" s="66"/>
      <c r="L119" s="66"/>
      <c r="M119" s="66"/>
      <c r="N119" s="66"/>
      <c r="O119" s="57">
        <f>SUM(B119:N119)</f>
        <v>0</v>
      </c>
    </row>
    <row r="120" spans="1:31" ht="15" customHeight="1" x14ac:dyDescent="0.4">
      <c r="A120" s="64" t="s">
        <v>109</v>
      </c>
      <c r="B120" s="83"/>
      <c r="C120" s="66"/>
      <c r="D120" s="66"/>
      <c r="E120" s="66"/>
      <c r="F120" s="66"/>
      <c r="G120" s="66"/>
      <c r="H120" s="66"/>
      <c r="I120" s="66"/>
      <c r="J120" s="66"/>
      <c r="K120" s="66"/>
      <c r="L120" s="66"/>
      <c r="M120" s="66"/>
      <c r="N120" s="66"/>
      <c r="O120" s="57">
        <f>SUM(B120:N120)</f>
        <v>0</v>
      </c>
    </row>
    <row r="121" spans="1:31" ht="15" customHeight="1" thickBot="1" x14ac:dyDescent="0.45">
      <c r="A121" s="21" t="s">
        <v>55</v>
      </c>
      <c r="B121" s="82"/>
      <c r="C121" s="22" t="str">
        <f t="shared" ref="C121:N121" si="17">IF(SUM(C116:C120)=(C34+C36),"OK","ERRO!")</f>
        <v>ERRO!</v>
      </c>
      <c r="D121" s="22" t="str">
        <f t="shared" si="17"/>
        <v>OK</v>
      </c>
      <c r="E121" s="22" t="str">
        <f t="shared" si="17"/>
        <v>OK</v>
      </c>
      <c r="F121" s="22" t="str">
        <f t="shared" si="17"/>
        <v>OK</v>
      </c>
      <c r="G121" s="22" t="str">
        <f t="shared" si="17"/>
        <v>OK</v>
      </c>
      <c r="H121" s="22" t="str">
        <f t="shared" si="17"/>
        <v>OK</v>
      </c>
      <c r="I121" s="22" t="str">
        <f t="shared" si="17"/>
        <v>OK</v>
      </c>
      <c r="J121" s="22" t="str">
        <f t="shared" si="17"/>
        <v>OK</v>
      </c>
      <c r="K121" s="22" t="str">
        <f t="shared" si="17"/>
        <v>OK</v>
      </c>
      <c r="L121" s="22" t="str">
        <f t="shared" si="17"/>
        <v>OK</v>
      </c>
      <c r="M121" s="22" t="str">
        <f t="shared" si="17"/>
        <v>OK</v>
      </c>
      <c r="N121" s="22" t="str">
        <f t="shared" si="17"/>
        <v>OK</v>
      </c>
      <c r="O121" s="65">
        <f>SUM(O116:O120)</f>
        <v>0</v>
      </c>
    </row>
    <row r="122" spans="1:31" ht="15" customHeight="1" thickBot="1" x14ac:dyDescent="0.45">
      <c r="A122" s="87" t="s">
        <v>110</v>
      </c>
      <c r="B122" s="87"/>
      <c r="C122" s="87"/>
      <c r="D122" s="87"/>
      <c r="E122" s="87"/>
      <c r="F122" s="87"/>
      <c r="G122" s="87"/>
      <c r="H122" s="87"/>
      <c r="I122" s="87"/>
      <c r="J122" s="87"/>
      <c r="K122" s="87"/>
      <c r="L122" s="87"/>
      <c r="M122" s="87"/>
      <c r="N122" s="87"/>
      <c r="O122" s="87"/>
    </row>
    <row r="123" spans="1:31" ht="15" customHeight="1" x14ac:dyDescent="0.4">
      <c r="C123" s="94" t="s">
        <v>68</v>
      </c>
      <c r="D123" s="94"/>
      <c r="E123" s="94"/>
      <c r="F123" s="94"/>
      <c r="G123" s="94"/>
      <c r="H123" s="94"/>
      <c r="I123" s="94"/>
      <c r="J123" s="94"/>
      <c r="K123" s="94"/>
      <c r="L123" s="94"/>
      <c r="M123" s="94"/>
      <c r="N123" s="94"/>
      <c r="O123" s="94"/>
    </row>
    <row r="124" spans="1:31" ht="15" customHeight="1" x14ac:dyDescent="0.4">
      <c r="B124" s="39">
        <v>2024</v>
      </c>
      <c r="C124" s="29" t="s">
        <v>11</v>
      </c>
      <c r="D124" s="29" t="s">
        <v>12</v>
      </c>
      <c r="E124" s="29" t="s">
        <v>13</v>
      </c>
      <c r="F124" s="29" t="s">
        <v>14</v>
      </c>
      <c r="G124" s="29" t="s">
        <v>15</v>
      </c>
      <c r="H124" s="29" t="s">
        <v>16</v>
      </c>
      <c r="I124" s="29" t="s">
        <v>17</v>
      </c>
      <c r="J124" s="29" t="s">
        <v>18</v>
      </c>
      <c r="K124" s="29" t="s">
        <v>19</v>
      </c>
      <c r="L124" s="29" t="s">
        <v>20</v>
      </c>
      <c r="M124" s="29" t="s">
        <v>21</v>
      </c>
      <c r="N124" s="29" t="s">
        <v>22</v>
      </c>
      <c r="O124" s="36" t="s">
        <v>23</v>
      </c>
    </row>
    <row r="125" spans="1:31" ht="15" customHeight="1" x14ac:dyDescent="0.4">
      <c r="A125" s="3" t="s">
        <v>111</v>
      </c>
      <c r="B125" s="63"/>
      <c r="C125" s="46"/>
      <c r="D125" s="46"/>
      <c r="E125" s="46"/>
      <c r="F125" s="46"/>
      <c r="G125" s="46"/>
      <c r="H125" s="46"/>
      <c r="I125" s="51"/>
      <c r="J125" s="51"/>
      <c r="K125" s="51"/>
      <c r="L125" s="51"/>
      <c r="M125" s="46"/>
      <c r="N125" s="52"/>
      <c r="O125" s="33">
        <f t="shared" ref="O125:O139" si="18">SUM(B125:N125)</f>
        <v>0</v>
      </c>
    </row>
    <row r="126" spans="1:31" ht="15" customHeight="1" x14ac:dyDescent="0.4">
      <c r="A126" s="3" t="s">
        <v>112</v>
      </c>
      <c r="B126" s="63"/>
      <c r="C126" s="46"/>
      <c r="D126" s="46"/>
      <c r="E126" s="46"/>
      <c r="F126" s="46"/>
      <c r="G126" s="46"/>
      <c r="H126" s="46"/>
      <c r="I126" s="51"/>
      <c r="J126" s="51"/>
      <c r="K126" s="51"/>
      <c r="L126" s="51"/>
      <c r="M126" s="46"/>
      <c r="N126" s="52"/>
      <c r="O126" s="33">
        <f t="shared" si="18"/>
        <v>0</v>
      </c>
    </row>
    <row r="127" spans="1:31" ht="15" customHeight="1" x14ac:dyDescent="0.4">
      <c r="A127" s="3" t="s">
        <v>113</v>
      </c>
      <c r="B127" s="63"/>
      <c r="C127" s="46"/>
      <c r="D127" s="46"/>
      <c r="E127" s="46"/>
      <c r="F127" s="46"/>
      <c r="G127" s="46"/>
      <c r="H127" s="46"/>
      <c r="I127" s="51"/>
      <c r="J127" s="51"/>
      <c r="K127" s="51"/>
      <c r="L127" s="51"/>
      <c r="M127" s="46"/>
      <c r="N127" s="52"/>
      <c r="O127" s="33">
        <f t="shared" si="18"/>
        <v>0</v>
      </c>
    </row>
    <row r="128" spans="1:31" ht="15" customHeight="1" x14ac:dyDescent="0.4">
      <c r="A128" s="3" t="s">
        <v>114</v>
      </c>
      <c r="B128" s="63"/>
      <c r="C128" s="46"/>
      <c r="D128" s="46"/>
      <c r="E128" s="46"/>
      <c r="F128" s="46"/>
      <c r="G128" s="46"/>
      <c r="H128" s="46"/>
      <c r="I128" s="51"/>
      <c r="J128" s="51"/>
      <c r="K128" s="51"/>
      <c r="L128" s="51"/>
      <c r="M128" s="46"/>
      <c r="N128" s="52"/>
      <c r="O128" s="33">
        <f t="shared" si="18"/>
        <v>0</v>
      </c>
    </row>
    <row r="129" spans="1:28" ht="15" customHeight="1" x14ac:dyDescent="0.4">
      <c r="A129" s="3" t="s">
        <v>115</v>
      </c>
      <c r="B129" s="63"/>
      <c r="C129" s="46"/>
      <c r="D129" s="46"/>
      <c r="E129" s="46"/>
      <c r="F129" s="46"/>
      <c r="G129" s="46"/>
      <c r="H129" s="46"/>
      <c r="I129" s="51"/>
      <c r="J129" s="51"/>
      <c r="K129" s="51"/>
      <c r="L129" s="51"/>
      <c r="M129" s="46"/>
      <c r="N129" s="52"/>
      <c r="O129" s="33">
        <f t="shared" si="18"/>
        <v>0</v>
      </c>
    </row>
    <row r="130" spans="1:28" ht="15" customHeight="1" x14ac:dyDescent="0.4">
      <c r="A130" s="3" t="s">
        <v>116</v>
      </c>
      <c r="B130" s="63"/>
      <c r="C130" s="46"/>
      <c r="D130" s="46"/>
      <c r="E130" s="46"/>
      <c r="F130" s="46"/>
      <c r="G130" s="46"/>
      <c r="H130" s="46"/>
      <c r="I130" s="51"/>
      <c r="J130" s="51"/>
      <c r="K130" s="51"/>
      <c r="L130" s="51"/>
      <c r="M130" s="46"/>
      <c r="N130" s="52"/>
      <c r="O130" s="33">
        <f t="shared" si="18"/>
        <v>0</v>
      </c>
      <c r="AB130" s="3"/>
    </row>
    <row r="131" spans="1:28" ht="15" customHeight="1" x14ac:dyDescent="0.4">
      <c r="A131" s="3" t="s">
        <v>117</v>
      </c>
      <c r="B131" s="63"/>
      <c r="C131" s="46"/>
      <c r="D131" s="46"/>
      <c r="E131" s="46"/>
      <c r="F131" s="46"/>
      <c r="G131" s="46"/>
      <c r="H131" s="46"/>
      <c r="I131" s="51"/>
      <c r="J131" s="51"/>
      <c r="K131" s="51"/>
      <c r="L131" s="51"/>
      <c r="M131" s="46"/>
      <c r="N131" s="52"/>
      <c r="O131" s="33">
        <f t="shared" si="18"/>
        <v>0</v>
      </c>
      <c r="AB131" s="3"/>
    </row>
    <row r="132" spans="1:28" ht="15" customHeight="1" x14ac:dyDescent="0.4">
      <c r="A132" s="3" t="s">
        <v>118</v>
      </c>
      <c r="B132" s="63"/>
      <c r="C132" s="46"/>
      <c r="D132" s="46"/>
      <c r="E132" s="46"/>
      <c r="F132" s="46"/>
      <c r="G132" s="46"/>
      <c r="H132" s="46"/>
      <c r="I132" s="51"/>
      <c r="J132" s="51"/>
      <c r="K132" s="51"/>
      <c r="L132" s="51"/>
      <c r="M132" s="46"/>
      <c r="N132" s="52"/>
      <c r="O132" s="33">
        <f t="shared" si="18"/>
        <v>0</v>
      </c>
      <c r="AB132" s="3"/>
    </row>
    <row r="133" spans="1:28" ht="15" customHeight="1" x14ac:dyDescent="0.4">
      <c r="A133" s="3" t="s">
        <v>119</v>
      </c>
      <c r="B133" s="63"/>
      <c r="C133" s="46"/>
      <c r="D133" s="46"/>
      <c r="E133" s="46"/>
      <c r="F133" s="46"/>
      <c r="G133" s="46"/>
      <c r="H133" s="46"/>
      <c r="I133" s="51"/>
      <c r="J133" s="51"/>
      <c r="K133" s="51"/>
      <c r="L133" s="51"/>
      <c r="M133" s="46"/>
      <c r="N133" s="52"/>
      <c r="O133" s="33">
        <f t="shared" si="18"/>
        <v>0</v>
      </c>
      <c r="AB133" s="3"/>
    </row>
    <row r="134" spans="1:28" ht="15" customHeight="1" x14ac:dyDescent="0.4">
      <c r="A134" s="3" t="s">
        <v>120</v>
      </c>
      <c r="B134" s="63"/>
      <c r="C134" s="46"/>
      <c r="D134" s="46"/>
      <c r="E134" s="46"/>
      <c r="F134" s="46"/>
      <c r="G134" s="46"/>
      <c r="H134" s="46"/>
      <c r="I134" s="51"/>
      <c r="J134" s="51"/>
      <c r="K134" s="51"/>
      <c r="L134" s="51"/>
      <c r="M134" s="46"/>
      <c r="N134" s="52"/>
      <c r="O134" s="33">
        <f t="shared" si="18"/>
        <v>0</v>
      </c>
    </row>
    <row r="135" spans="1:28" ht="15" customHeight="1" x14ac:dyDescent="0.4">
      <c r="A135" s="3" t="s">
        <v>121</v>
      </c>
      <c r="B135" s="63"/>
      <c r="C135" s="46"/>
      <c r="D135" s="46"/>
      <c r="E135" s="46"/>
      <c r="F135" s="46"/>
      <c r="G135" s="46"/>
      <c r="H135" s="46"/>
      <c r="I135" s="51"/>
      <c r="J135" s="51"/>
      <c r="K135" s="51"/>
      <c r="L135" s="51"/>
      <c r="M135" s="46"/>
      <c r="N135" s="52"/>
      <c r="O135" s="33">
        <f t="shared" si="18"/>
        <v>0</v>
      </c>
    </row>
    <row r="136" spans="1:28" ht="15" customHeight="1" x14ac:dyDescent="0.4">
      <c r="A136" s="3" t="s">
        <v>122</v>
      </c>
      <c r="B136" s="63"/>
      <c r="C136" s="46"/>
      <c r="D136" s="46"/>
      <c r="E136" s="46"/>
      <c r="F136" s="46"/>
      <c r="G136" s="46"/>
      <c r="H136" s="46"/>
      <c r="I136" s="51"/>
      <c r="J136" s="51"/>
      <c r="K136" s="46"/>
      <c r="L136" s="51"/>
      <c r="M136" s="46"/>
      <c r="N136" s="52"/>
      <c r="O136" s="33">
        <f t="shared" si="18"/>
        <v>0</v>
      </c>
    </row>
    <row r="137" spans="1:28" ht="15" customHeight="1" x14ac:dyDescent="0.4">
      <c r="A137" s="3" t="s">
        <v>123</v>
      </c>
      <c r="B137" s="63"/>
      <c r="C137" s="46"/>
      <c r="D137" s="46"/>
      <c r="E137" s="46"/>
      <c r="F137" s="46"/>
      <c r="G137" s="46"/>
      <c r="H137" s="46"/>
      <c r="I137" s="51"/>
      <c r="J137" s="51"/>
      <c r="K137" s="51"/>
      <c r="L137" s="51"/>
      <c r="M137" s="46"/>
      <c r="N137" s="52"/>
      <c r="O137" s="33">
        <f t="shared" si="18"/>
        <v>0</v>
      </c>
    </row>
    <row r="138" spans="1:28" ht="15" customHeight="1" x14ac:dyDescent="0.4">
      <c r="A138" s="3" t="s">
        <v>124</v>
      </c>
      <c r="B138" s="63"/>
      <c r="C138" s="46"/>
      <c r="D138" s="46"/>
      <c r="E138" s="46"/>
      <c r="F138" s="46"/>
      <c r="G138" s="46"/>
      <c r="H138" s="46"/>
      <c r="I138" s="51"/>
      <c r="J138" s="51"/>
      <c r="K138" s="51"/>
      <c r="L138" s="51"/>
      <c r="M138" s="46"/>
      <c r="N138" s="52"/>
      <c r="O138" s="33">
        <f t="shared" si="18"/>
        <v>0</v>
      </c>
    </row>
    <row r="139" spans="1:28" ht="15" customHeight="1" x14ac:dyDescent="0.4">
      <c r="A139" s="3" t="s">
        <v>125</v>
      </c>
      <c r="B139" s="84"/>
      <c r="C139" s="46"/>
      <c r="D139" s="46"/>
      <c r="E139" s="46"/>
      <c r="F139" s="46"/>
      <c r="G139" s="46"/>
      <c r="H139" s="46"/>
      <c r="I139" s="51"/>
      <c r="J139" s="51"/>
      <c r="K139" s="51"/>
      <c r="L139" s="51"/>
      <c r="M139" s="46"/>
      <c r="N139" s="52"/>
      <c r="O139" s="33">
        <f t="shared" si="18"/>
        <v>0</v>
      </c>
    </row>
    <row r="140" spans="1:28" ht="15" customHeight="1" thickBot="1" x14ac:dyDescent="0.45">
      <c r="A140" s="21" t="s">
        <v>55</v>
      </c>
      <c r="B140" s="82"/>
      <c r="C140" s="22" t="str">
        <f t="shared" ref="C140:N140" si="19">IF(SUM(C125:C139)=SUM(C34+C36),"OK","ERRO!")</f>
        <v>ERRO!</v>
      </c>
      <c r="D140" s="22" t="str">
        <f t="shared" si="19"/>
        <v>OK</v>
      </c>
      <c r="E140" s="22" t="str">
        <f t="shared" si="19"/>
        <v>OK</v>
      </c>
      <c r="F140" s="22" t="str">
        <f t="shared" si="19"/>
        <v>OK</v>
      </c>
      <c r="G140" s="22" t="str">
        <f t="shared" si="19"/>
        <v>OK</v>
      </c>
      <c r="H140" s="22" t="str">
        <f t="shared" si="19"/>
        <v>OK</v>
      </c>
      <c r="I140" s="22" t="str">
        <f t="shared" si="19"/>
        <v>OK</v>
      </c>
      <c r="J140" s="22" t="str">
        <f t="shared" si="19"/>
        <v>OK</v>
      </c>
      <c r="K140" s="22" t="str">
        <f t="shared" si="19"/>
        <v>OK</v>
      </c>
      <c r="L140" s="22" t="str">
        <f t="shared" si="19"/>
        <v>OK</v>
      </c>
      <c r="M140" s="22" t="str">
        <f t="shared" si="19"/>
        <v>OK</v>
      </c>
      <c r="N140" s="22" t="str">
        <f t="shared" si="19"/>
        <v>OK</v>
      </c>
      <c r="O140" s="65">
        <f>SUM(O125:O139)</f>
        <v>0</v>
      </c>
    </row>
    <row r="141" spans="1:28" ht="15" customHeight="1" thickBot="1" x14ac:dyDescent="0.45">
      <c r="A141" s="87" t="s">
        <v>126</v>
      </c>
      <c r="B141" s="87"/>
      <c r="C141" s="87"/>
      <c r="D141" s="87"/>
      <c r="E141" s="87"/>
      <c r="F141" s="87"/>
      <c r="G141" s="87"/>
      <c r="H141" s="87"/>
      <c r="I141" s="87"/>
      <c r="J141" s="87"/>
      <c r="K141" s="87"/>
      <c r="L141" s="87"/>
      <c r="M141" s="87"/>
      <c r="N141" s="87"/>
      <c r="O141" s="87"/>
    </row>
    <row r="142" spans="1:28" ht="15" customHeight="1" x14ac:dyDescent="0.4">
      <c r="A142" s="88" t="s">
        <v>127</v>
      </c>
      <c r="B142" s="89"/>
      <c r="C142" s="89"/>
      <c r="D142" s="89"/>
      <c r="E142" s="89"/>
      <c r="F142" s="89"/>
      <c r="G142" s="89"/>
      <c r="H142" s="89"/>
      <c r="I142" s="89"/>
      <c r="J142" s="89"/>
      <c r="K142" s="89"/>
      <c r="L142" s="89"/>
      <c r="M142" s="89"/>
      <c r="N142" s="89"/>
      <c r="O142" s="89"/>
    </row>
    <row r="143" spans="1:28" ht="15" customHeight="1" x14ac:dyDescent="0.4">
      <c r="A143" s="90"/>
      <c r="B143" s="90"/>
      <c r="C143" s="90"/>
      <c r="D143" s="90"/>
      <c r="E143" s="90"/>
      <c r="F143" s="90"/>
      <c r="G143" s="90"/>
      <c r="H143" s="90"/>
      <c r="I143" s="90"/>
      <c r="J143" s="90"/>
      <c r="K143" s="90"/>
      <c r="L143" s="90"/>
      <c r="M143" s="90"/>
      <c r="N143" s="90"/>
      <c r="O143" s="90"/>
    </row>
    <row r="144" spans="1:28" ht="15" customHeight="1" x14ac:dyDescent="0.4">
      <c r="A144" s="91"/>
      <c r="B144" s="91"/>
      <c r="C144" s="91"/>
      <c r="D144" s="91"/>
      <c r="E144" s="91"/>
      <c r="F144" s="91"/>
      <c r="G144" s="91"/>
      <c r="H144" s="91"/>
      <c r="I144" s="91"/>
      <c r="J144" s="91"/>
      <c r="K144" s="91"/>
      <c r="L144" s="91"/>
      <c r="M144" s="91"/>
      <c r="N144" s="91"/>
      <c r="O144" s="91"/>
    </row>
    <row r="145" spans="1:15" ht="15" customHeight="1" x14ac:dyDescent="0.4">
      <c r="A145" s="91"/>
      <c r="B145" s="91"/>
      <c r="C145" s="91"/>
      <c r="D145" s="91"/>
      <c r="E145" s="91"/>
      <c r="F145" s="91"/>
      <c r="G145" s="91"/>
      <c r="H145" s="91"/>
      <c r="I145" s="91"/>
      <c r="J145" s="91"/>
      <c r="K145" s="91"/>
      <c r="L145" s="91"/>
      <c r="M145" s="91"/>
      <c r="N145" s="91"/>
      <c r="O145" s="91"/>
    </row>
    <row r="146" spans="1:15" ht="15" customHeight="1" x14ac:dyDescent="0.4">
      <c r="A146" s="91"/>
      <c r="B146" s="91"/>
      <c r="C146" s="91"/>
      <c r="D146" s="91"/>
      <c r="E146" s="91"/>
      <c r="F146" s="91"/>
      <c r="G146" s="91"/>
      <c r="H146" s="91"/>
      <c r="I146" s="91"/>
      <c r="J146" s="91"/>
      <c r="K146" s="91"/>
      <c r="L146" s="91"/>
      <c r="M146" s="91"/>
      <c r="N146" s="91"/>
      <c r="O146" s="91"/>
    </row>
    <row r="147" spans="1:15" ht="15" customHeight="1" x14ac:dyDescent="0.4"/>
    <row r="148" spans="1:15" ht="12.75" customHeight="1" thickBot="1" x14ac:dyDescent="0.45">
      <c r="A148" s="99" t="s">
        <v>128</v>
      </c>
      <c r="B148" s="99"/>
      <c r="C148" s="99"/>
      <c r="D148" s="99"/>
      <c r="E148" s="99"/>
      <c r="F148" s="99"/>
      <c r="G148" s="99"/>
      <c r="H148" s="99"/>
      <c r="I148" s="99"/>
      <c r="J148" s="99"/>
      <c r="K148" s="99"/>
      <c r="L148" s="99"/>
      <c r="M148" s="99"/>
      <c r="N148" s="99"/>
      <c r="O148" s="99"/>
    </row>
    <row r="149" spans="1:15" ht="15" customHeight="1" x14ac:dyDescent="0.4">
      <c r="C149" s="94" t="s">
        <v>68</v>
      </c>
      <c r="D149" s="94"/>
      <c r="E149" s="94"/>
      <c r="F149" s="94"/>
      <c r="G149" s="94"/>
      <c r="H149" s="94"/>
      <c r="I149" s="94"/>
      <c r="J149" s="94"/>
      <c r="K149" s="94"/>
      <c r="L149" s="94"/>
      <c r="M149" s="94"/>
      <c r="N149" s="94"/>
      <c r="O149" s="94"/>
    </row>
    <row r="150" spans="1:15" ht="15" customHeight="1" x14ac:dyDescent="0.4">
      <c r="B150" s="39">
        <v>2024</v>
      </c>
      <c r="C150" s="8" t="s">
        <v>11</v>
      </c>
      <c r="D150" s="8" t="s">
        <v>12</v>
      </c>
      <c r="E150" s="8" t="s">
        <v>13</v>
      </c>
      <c r="F150" s="8" t="s">
        <v>14</v>
      </c>
      <c r="G150" s="8" t="s">
        <v>15</v>
      </c>
      <c r="H150" s="8" t="s">
        <v>16</v>
      </c>
      <c r="I150" s="8" t="s">
        <v>17</v>
      </c>
      <c r="J150" s="8" t="s">
        <v>18</v>
      </c>
      <c r="K150" s="8" t="s">
        <v>19</v>
      </c>
      <c r="L150" s="8" t="s">
        <v>20</v>
      </c>
      <c r="M150" s="8" t="s">
        <v>21</v>
      </c>
      <c r="N150" s="8" t="s">
        <v>22</v>
      </c>
      <c r="O150" s="33" t="s">
        <v>23</v>
      </c>
    </row>
    <row r="151" spans="1:15" ht="15" customHeight="1" x14ac:dyDescent="0.4">
      <c r="A151" s="3" t="s">
        <v>129</v>
      </c>
      <c r="B151" s="46"/>
      <c r="C151" s="46"/>
      <c r="D151" s="46"/>
      <c r="E151" s="46"/>
      <c r="F151" s="46"/>
      <c r="G151" s="46"/>
      <c r="H151" s="46"/>
      <c r="I151" s="46"/>
      <c r="J151" s="46"/>
      <c r="K151" s="46"/>
      <c r="L151" s="46"/>
      <c r="M151" s="46"/>
      <c r="N151" s="46"/>
      <c r="O151" s="33">
        <f>SUM(B151:N151)</f>
        <v>0</v>
      </c>
    </row>
    <row r="152" spans="1:15" x14ac:dyDescent="0.4">
      <c r="A152" s="5" t="s">
        <v>130</v>
      </c>
      <c r="B152" s="46"/>
      <c r="C152" s="46"/>
      <c r="D152" s="46"/>
      <c r="E152" s="46"/>
      <c r="F152" s="46"/>
      <c r="G152" s="46"/>
      <c r="H152" s="46"/>
      <c r="I152" s="46"/>
      <c r="J152" s="46"/>
      <c r="K152" s="46"/>
      <c r="L152" s="46"/>
      <c r="M152" s="46"/>
      <c r="N152" s="52"/>
      <c r="O152" s="33">
        <f>SUM(B152:N152)</f>
        <v>0</v>
      </c>
    </row>
    <row r="153" spans="1:15" x14ac:dyDescent="0.4">
      <c r="A153" s="3" t="s">
        <v>131</v>
      </c>
      <c r="B153" s="46"/>
      <c r="C153" s="46"/>
      <c r="D153" s="46"/>
      <c r="E153" s="46"/>
      <c r="F153" s="46"/>
      <c r="G153" s="46"/>
      <c r="H153" s="46"/>
      <c r="I153" s="46"/>
      <c r="J153" s="46"/>
      <c r="K153" s="46"/>
      <c r="L153" s="46"/>
      <c r="M153" s="46"/>
      <c r="N153" s="52"/>
      <c r="O153" s="33">
        <f>SUM(B153:N153)</f>
        <v>0</v>
      </c>
    </row>
    <row r="154" spans="1:15" x14ac:dyDescent="0.4">
      <c r="A154" s="3" t="s">
        <v>132</v>
      </c>
      <c r="B154" s="46"/>
      <c r="C154" s="46"/>
      <c r="D154" s="46"/>
      <c r="E154" s="46"/>
      <c r="F154" s="46"/>
      <c r="G154" s="46"/>
      <c r="H154" s="46"/>
      <c r="I154" s="46"/>
      <c r="J154" s="46"/>
      <c r="K154" s="46"/>
      <c r="L154" s="51"/>
      <c r="M154" s="46"/>
      <c r="N154" s="52"/>
      <c r="O154" s="33">
        <f>SUM(B154:N154)</f>
        <v>0</v>
      </c>
    </row>
    <row r="155" spans="1:15" ht="15" customHeight="1" thickBot="1" x14ac:dyDescent="0.45">
      <c r="A155" s="21" t="s">
        <v>55</v>
      </c>
      <c r="B155" s="21"/>
      <c r="C155" s="22" t="str">
        <f t="shared" ref="C155:N155" si="20">IF(SUM(C151:C154)=SUM(C34+C36),"OK","ERRO!")</f>
        <v>ERRO!</v>
      </c>
      <c r="D155" s="22" t="str">
        <f t="shared" si="20"/>
        <v>OK</v>
      </c>
      <c r="E155" s="22" t="str">
        <f t="shared" si="20"/>
        <v>OK</v>
      </c>
      <c r="F155" s="22" t="str">
        <f t="shared" si="20"/>
        <v>OK</v>
      </c>
      <c r="G155" s="22" t="str">
        <f t="shared" si="20"/>
        <v>OK</v>
      </c>
      <c r="H155" s="22" t="str">
        <f t="shared" si="20"/>
        <v>OK</v>
      </c>
      <c r="I155" s="22" t="str">
        <f t="shared" si="20"/>
        <v>OK</v>
      </c>
      <c r="J155" s="22" t="str">
        <f t="shared" si="20"/>
        <v>OK</v>
      </c>
      <c r="K155" s="22" t="str">
        <f t="shared" si="20"/>
        <v>OK</v>
      </c>
      <c r="L155" s="22" t="str">
        <f t="shared" si="20"/>
        <v>OK</v>
      </c>
      <c r="M155" s="22" t="str">
        <f t="shared" si="20"/>
        <v>OK</v>
      </c>
      <c r="N155" s="22" t="str">
        <f t="shared" si="20"/>
        <v>OK</v>
      </c>
      <c r="O155" s="65">
        <f>SUM(O151:O154)</f>
        <v>0</v>
      </c>
    </row>
    <row r="156" spans="1:15" ht="15" customHeight="1" thickBot="1" x14ac:dyDescent="0.45">
      <c r="A156" s="87" t="s">
        <v>133</v>
      </c>
      <c r="B156" s="87"/>
      <c r="C156" s="87"/>
      <c r="D156" s="87"/>
      <c r="E156" s="87"/>
      <c r="F156" s="87"/>
      <c r="G156" s="87"/>
      <c r="H156" s="87"/>
      <c r="I156" s="87"/>
      <c r="J156" s="87"/>
      <c r="K156" s="87"/>
      <c r="L156" s="87"/>
      <c r="M156" s="87"/>
      <c r="N156" s="87"/>
      <c r="O156" s="87"/>
    </row>
    <row r="157" spans="1:15" ht="15" customHeight="1" x14ac:dyDescent="0.4">
      <c r="A157" s="31"/>
      <c r="B157" s="31"/>
      <c r="C157" s="94" t="s">
        <v>68</v>
      </c>
      <c r="D157" s="94"/>
      <c r="E157" s="94"/>
      <c r="F157" s="94"/>
      <c r="G157" s="94"/>
      <c r="H157" s="94"/>
      <c r="I157" s="94"/>
      <c r="J157" s="94"/>
      <c r="K157" s="94"/>
      <c r="L157" s="94"/>
      <c r="M157" s="94"/>
      <c r="N157" s="94"/>
      <c r="O157" s="94"/>
    </row>
    <row r="158" spans="1:15" ht="15" customHeight="1" x14ac:dyDescent="0.4">
      <c r="B158" s="39">
        <v>2024</v>
      </c>
      <c r="C158" s="29" t="s">
        <v>11</v>
      </c>
      <c r="D158" s="29" t="s">
        <v>12</v>
      </c>
      <c r="E158" s="29" t="s">
        <v>13</v>
      </c>
      <c r="F158" s="29" t="s">
        <v>14</v>
      </c>
      <c r="G158" s="29" t="s">
        <v>15</v>
      </c>
      <c r="H158" s="29" t="s">
        <v>16</v>
      </c>
      <c r="I158" s="29" t="s">
        <v>17</v>
      </c>
      <c r="J158" s="29" t="s">
        <v>18</v>
      </c>
      <c r="K158" s="29" t="s">
        <v>19</v>
      </c>
      <c r="L158" s="29" t="s">
        <v>20</v>
      </c>
      <c r="M158" s="29" t="s">
        <v>21</v>
      </c>
      <c r="N158" s="29" t="s">
        <v>22</v>
      </c>
      <c r="O158" s="36" t="s">
        <v>23</v>
      </c>
    </row>
    <row r="159" spans="1:15" ht="15" customHeight="1" x14ac:dyDescent="0.4">
      <c r="A159" s="64" t="s">
        <v>134</v>
      </c>
      <c r="B159" s="53"/>
      <c r="C159" s="46"/>
      <c r="D159" s="46"/>
      <c r="E159" s="46"/>
      <c r="F159" s="46"/>
      <c r="G159" s="46"/>
      <c r="H159" s="46"/>
      <c r="I159" s="51"/>
      <c r="J159" s="46"/>
      <c r="K159" s="46"/>
      <c r="L159" s="51"/>
      <c r="M159" s="46"/>
      <c r="N159" s="52"/>
      <c r="O159" s="33">
        <f t="shared" ref="O159:O169" si="21">SUM(B159:N159)</f>
        <v>0</v>
      </c>
    </row>
    <row r="160" spans="1:15" ht="15" customHeight="1" x14ac:dyDescent="0.4">
      <c r="A160" s="69" t="s">
        <v>135</v>
      </c>
      <c r="B160" s="53"/>
      <c r="C160" s="46"/>
      <c r="D160" s="46"/>
      <c r="E160" s="46"/>
      <c r="F160" s="46"/>
      <c r="G160" s="46"/>
      <c r="H160" s="46"/>
      <c r="I160" s="46"/>
      <c r="J160" s="46"/>
      <c r="K160" s="46"/>
      <c r="L160" s="46"/>
      <c r="M160" s="46"/>
      <c r="N160" s="46"/>
      <c r="O160" s="33">
        <f t="shared" si="21"/>
        <v>0</v>
      </c>
    </row>
    <row r="161" spans="1:15" ht="15" customHeight="1" x14ac:dyDescent="0.4">
      <c r="A161" s="69" t="s">
        <v>136</v>
      </c>
      <c r="B161" s="53"/>
      <c r="C161" s="46"/>
      <c r="D161" s="46"/>
      <c r="E161" s="46"/>
      <c r="F161" s="46"/>
      <c r="G161" s="46"/>
      <c r="H161" s="46"/>
      <c r="I161" s="46"/>
      <c r="J161" s="46"/>
      <c r="K161" s="46"/>
      <c r="L161" s="46"/>
      <c r="M161" s="46"/>
      <c r="N161" s="46"/>
      <c r="O161" s="33">
        <f t="shared" si="21"/>
        <v>0</v>
      </c>
    </row>
    <row r="162" spans="1:15" ht="15" customHeight="1" x14ac:dyDescent="0.4">
      <c r="A162" s="69" t="s">
        <v>137</v>
      </c>
      <c r="B162" s="53"/>
      <c r="C162" s="46"/>
      <c r="D162" s="46"/>
      <c r="E162" s="46"/>
      <c r="F162" s="46"/>
      <c r="G162" s="46"/>
      <c r="H162" s="46"/>
      <c r="I162" s="46"/>
      <c r="J162" s="46"/>
      <c r="K162" s="46"/>
      <c r="L162" s="46"/>
      <c r="M162" s="46"/>
      <c r="N162" s="46"/>
      <c r="O162" s="33">
        <f t="shared" si="21"/>
        <v>0</v>
      </c>
    </row>
    <row r="163" spans="1:15" ht="15" customHeight="1" x14ac:dyDescent="0.4">
      <c r="A163" s="69" t="s">
        <v>138</v>
      </c>
      <c r="B163" s="53"/>
      <c r="C163" s="46"/>
      <c r="D163" s="46"/>
      <c r="E163" s="46"/>
      <c r="F163" s="46"/>
      <c r="G163" s="46"/>
      <c r="H163" s="46"/>
      <c r="I163" s="46"/>
      <c r="J163" s="46"/>
      <c r="K163" s="46"/>
      <c r="L163" s="46"/>
      <c r="M163" s="46"/>
      <c r="N163" s="46"/>
      <c r="O163" s="33">
        <f t="shared" si="21"/>
        <v>0</v>
      </c>
    </row>
    <row r="164" spans="1:15" ht="15" customHeight="1" x14ac:dyDescent="0.4">
      <c r="A164" s="69" t="s">
        <v>139</v>
      </c>
      <c r="B164" s="54"/>
      <c r="C164" s="46"/>
      <c r="D164" s="46"/>
      <c r="E164" s="46"/>
      <c r="F164" s="46"/>
      <c r="G164" s="46"/>
      <c r="H164" s="46"/>
      <c r="I164" s="46"/>
      <c r="J164" s="46"/>
      <c r="K164" s="46"/>
      <c r="L164" s="46"/>
      <c r="M164" s="46"/>
      <c r="N164" s="46"/>
      <c r="O164" s="33">
        <f t="shared" si="21"/>
        <v>0</v>
      </c>
    </row>
    <row r="165" spans="1:15" ht="15" customHeight="1" x14ac:dyDescent="0.4">
      <c r="A165" s="69" t="s">
        <v>140</v>
      </c>
      <c r="B165" s="54"/>
      <c r="C165" s="46"/>
      <c r="D165" s="46"/>
      <c r="E165" s="46"/>
      <c r="F165" s="46"/>
      <c r="G165" s="46"/>
      <c r="H165" s="46"/>
      <c r="I165" s="46"/>
      <c r="J165" s="46"/>
      <c r="K165" s="46"/>
      <c r="L165" s="51"/>
      <c r="M165" s="46"/>
      <c r="N165" s="46"/>
      <c r="O165" s="33">
        <f t="shared" si="21"/>
        <v>0</v>
      </c>
    </row>
    <row r="166" spans="1:15" ht="15" customHeight="1" x14ac:dyDescent="0.4">
      <c r="A166" s="69" t="s">
        <v>141</v>
      </c>
      <c r="B166" s="54"/>
      <c r="C166" s="46"/>
      <c r="D166" s="46"/>
      <c r="E166" s="46"/>
      <c r="F166" s="46"/>
      <c r="G166" s="46"/>
      <c r="H166" s="46"/>
      <c r="I166" s="46"/>
      <c r="J166" s="46"/>
      <c r="K166" s="46"/>
      <c r="L166" s="51"/>
      <c r="M166" s="46"/>
      <c r="N166" s="46"/>
      <c r="O166" s="33">
        <f t="shared" si="21"/>
        <v>0</v>
      </c>
    </row>
    <row r="167" spans="1:15" ht="15" customHeight="1" x14ac:dyDescent="0.4">
      <c r="A167" s="75" t="s">
        <v>142</v>
      </c>
      <c r="B167" s="54"/>
      <c r="C167" s="46"/>
      <c r="D167" s="46"/>
      <c r="E167" s="46"/>
      <c r="F167" s="46"/>
      <c r="G167" s="46"/>
      <c r="H167" s="46"/>
      <c r="I167" s="46"/>
      <c r="J167" s="46"/>
      <c r="K167" s="46"/>
      <c r="L167" s="46"/>
      <c r="M167" s="46"/>
      <c r="N167" s="46"/>
      <c r="O167" s="33">
        <f t="shared" si="21"/>
        <v>0</v>
      </c>
    </row>
    <row r="168" spans="1:15" ht="15" customHeight="1" x14ac:dyDescent="0.4">
      <c r="A168" s="69" t="s">
        <v>143</v>
      </c>
      <c r="B168" s="54"/>
      <c r="C168" s="46"/>
      <c r="D168" s="46"/>
      <c r="E168" s="46"/>
      <c r="F168" s="46"/>
      <c r="G168" s="46"/>
      <c r="H168" s="46"/>
      <c r="I168" s="46"/>
      <c r="J168" s="46"/>
      <c r="K168" s="46"/>
      <c r="L168" s="46"/>
      <c r="M168" s="46"/>
      <c r="N168" s="46"/>
      <c r="O168" s="33">
        <f t="shared" si="21"/>
        <v>0</v>
      </c>
    </row>
    <row r="169" spans="1:15" ht="15" customHeight="1" x14ac:dyDescent="0.4">
      <c r="A169" s="69" t="s">
        <v>144</v>
      </c>
      <c r="B169" s="54"/>
      <c r="C169" s="46"/>
      <c r="D169" s="46"/>
      <c r="E169" s="46"/>
      <c r="F169" s="46"/>
      <c r="G169" s="46"/>
      <c r="H169" s="46"/>
      <c r="I169" s="46"/>
      <c r="J169" s="46"/>
      <c r="K169" s="46"/>
      <c r="L169" s="46"/>
      <c r="M169" s="46"/>
      <c r="N169" s="46"/>
      <c r="O169" s="33">
        <f t="shared" si="21"/>
        <v>0</v>
      </c>
    </row>
    <row r="170" spans="1:15" ht="15" customHeight="1" x14ac:dyDescent="0.4">
      <c r="A170" s="45" t="s">
        <v>145</v>
      </c>
      <c r="B170" s="92"/>
      <c r="C170" s="92"/>
      <c r="D170" s="92"/>
      <c r="E170" s="92"/>
      <c r="F170" s="92"/>
      <c r="G170" s="92"/>
      <c r="H170" s="92"/>
      <c r="I170" s="92"/>
      <c r="J170" s="92"/>
      <c r="K170" s="92"/>
      <c r="L170" s="92"/>
      <c r="M170" s="92"/>
      <c r="N170" s="92"/>
      <c r="O170" s="33" t="s">
        <v>39</v>
      </c>
    </row>
    <row r="171" spans="1:15" ht="15" customHeight="1" x14ac:dyDescent="0.4">
      <c r="A171" s="5"/>
      <c r="B171" s="93"/>
      <c r="C171" s="93"/>
      <c r="D171" s="93"/>
      <c r="E171" s="93"/>
      <c r="F171" s="93"/>
      <c r="G171" s="93"/>
      <c r="H171" s="93"/>
      <c r="I171" s="93"/>
      <c r="J171" s="93"/>
      <c r="K171" s="93"/>
      <c r="L171" s="93"/>
      <c r="M171" s="93"/>
      <c r="N171" s="93"/>
      <c r="O171" s="33" t="s">
        <v>39</v>
      </c>
    </row>
    <row r="172" spans="1:15" ht="15" customHeight="1" thickBot="1" x14ac:dyDescent="0.45">
      <c r="A172" s="21" t="s">
        <v>55</v>
      </c>
      <c r="B172" s="21"/>
      <c r="C172" s="22" t="str">
        <f t="shared" ref="C172:N172" si="22">IF(SUM(C159:C169)=SUM(C34+C36),"OK","ERRO!")</f>
        <v>ERRO!</v>
      </c>
      <c r="D172" s="22" t="str">
        <f t="shared" si="22"/>
        <v>OK</v>
      </c>
      <c r="E172" s="22" t="str">
        <f t="shared" si="22"/>
        <v>OK</v>
      </c>
      <c r="F172" s="22" t="str">
        <f t="shared" si="22"/>
        <v>OK</v>
      </c>
      <c r="G172" s="22" t="str">
        <f t="shared" si="22"/>
        <v>OK</v>
      </c>
      <c r="H172" s="22" t="str">
        <f t="shared" si="22"/>
        <v>OK</v>
      </c>
      <c r="I172" s="22" t="str">
        <f t="shared" si="22"/>
        <v>OK</v>
      </c>
      <c r="J172" s="22" t="str">
        <f t="shared" si="22"/>
        <v>OK</v>
      </c>
      <c r="K172" s="22" t="str">
        <f t="shared" si="22"/>
        <v>OK</v>
      </c>
      <c r="L172" s="22" t="str">
        <f t="shared" si="22"/>
        <v>OK</v>
      </c>
      <c r="M172" s="22" t="str">
        <f t="shared" si="22"/>
        <v>OK</v>
      </c>
      <c r="N172" s="22" t="str">
        <f t="shared" si="22"/>
        <v>OK</v>
      </c>
      <c r="O172" s="65">
        <f>SUM(O159:O169)</f>
        <v>0</v>
      </c>
    </row>
    <row r="173" spans="1:15" ht="14" thickBot="1" x14ac:dyDescent="0.45">
      <c r="A173" s="87" t="s">
        <v>134</v>
      </c>
      <c r="B173" s="87"/>
      <c r="C173" s="87"/>
      <c r="D173" s="87"/>
      <c r="E173" s="87"/>
      <c r="F173" s="87"/>
      <c r="G173" s="87"/>
      <c r="H173" s="87"/>
      <c r="I173" s="87"/>
      <c r="J173" s="87"/>
      <c r="K173" s="87"/>
      <c r="L173" s="87"/>
      <c r="M173" s="87"/>
      <c r="N173" s="87"/>
      <c r="O173" s="87"/>
    </row>
    <row r="174" spans="1:15" ht="15" customHeight="1" x14ac:dyDescent="0.4">
      <c r="A174" s="31"/>
      <c r="B174" s="31"/>
      <c r="C174" s="59" t="s">
        <v>68</v>
      </c>
      <c r="D174" s="59"/>
      <c r="E174" s="59"/>
      <c r="F174" s="59"/>
      <c r="G174" s="59"/>
      <c r="H174" s="59"/>
      <c r="I174" s="59"/>
      <c r="J174" s="59"/>
      <c r="K174" s="59"/>
      <c r="L174" s="59"/>
      <c r="M174" s="59"/>
      <c r="N174" s="59"/>
      <c r="O174" s="59"/>
    </row>
    <row r="175" spans="1:15" x14ac:dyDescent="0.4">
      <c r="B175" s="39">
        <v>2024</v>
      </c>
      <c r="C175" s="29" t="s">
        <v>11</v>
      </c>
      <c r="D175" s="29" t="s">
        <v>12</v>
      </c>
      <c r="E175" s="29" t="s">
        <v>13</v>
      </c>
      <c r="F175" s="29" t="s">
        <v>14</v>
      </c>
      <c r="G175" s="29" t="s">
        <v>15</v>
      </c>
      <c r="H175" s="29" t="s">
        <v>16</v>
      </c>
      <c r="I175" s="29" t="s">
        <v>17</v>
      </c>
      <c r="J175" s="29" t="s">
        <v>18</v>
      </c>
      <c r="K175" s="29" t="s">
        <v>19</v>
      </c>
      <c r="L175" s="29" t="s">
        <v>20</v>
      </c>
      <c r="M175" s="29" t="s">
        <v>21</v>
      </c>
      <c r="N175" s="29" t="s">
        <v>22</v>
      </c>
      <c r="O175" s="36" t="s">
        <v>23</v>
      </c>
    </row>
    <row r="176" spans="1:15" ht="15" customHeight="1" x14ac:dyDescent="0.4">
      <c r="A176" s="64" t="s">
        <v>146</v>
      </c>
      <c r="B176" s="53"/>
      <c r="C176" s="46"/>
      <c r="D176" s="46"/>
      <c r="E176" s="46"/>
      <c r="F176" s="46"/>
      <c r="G176" s="46"/>
      <c r="H176" s="46"/>
      <c r="I176" s="51"/>
      <c r="J176" s="46"/>
      <c r="K176" s="46"/>
      <c r="L176" s="51"/>
      <c r="M176" s="46"/>
      <c r="N176" s="52"/>
      <c r="O176" s="33">
        <f t="shared" ref="O176:O183" si="23">SUM(B176:N176)</f>
        <v>0</v>
      </c>
    </row>
    <row r="177" spans="1:15" ht="15" customHeight="1" x14ac:dyDescent="0.4">
      <c r="A177" s="69" t="s">
        <v>147</v>
      </c>
      <c r="B177" s="53"/>
      <c r="C177" s="46"/>
      <c r="D177" s="46"/>
      <c r="E177" s="46"/>
      <c r="F177" s="46"/>
      <c r="G177" s="46"/>
      <c r="H177" s="46"/>
      <c r="I177" s="46"/>
      <c r="J177" s="46"/>
      <c r="K177" s="46"/>
      <c r="L177" s="46"/>
      <c r="M177" s="46"/>
      <c r="N177" s="46"/>
      <c r="O177" s="33">
        <f t="shared" si="23"/>
        <v>0</v>
      </c>
    </row>
    <row r="178" spans="1:15" ht="15" customHeight="1" x14ac:dyDescent="0.4">
      <c r="A178" s="69" t="s">
        <v>148</v>
      </c>
      <c r="B178" s="53"/>
      <c r="C178" s="46"/>
      <c r="D178" s="46"/>
      <c r="E178" s="46"/>
      <c r="F178" s="46"/>
      <c r="G178" s="46"/>
      <c r="H178" s="46"/>
      <c r="I178" s="46"/>
      <c r="J178" s="46"/>
      <c r="K178" s="46"/>
      <c r="L178" s="46"/>
      <c r="M178" s="46"/>
      <c r="N178" s="46"/>
      <c r="O178" s="33">
        <f t="shared" si="23"/>
        <v>0</v>
      </c>
    </row>
    <row r="179" spans="1:15" x14ac:dyDescent="0.4">
      <c r="A179" s="69" t="s">
        <v>149</v>
      </c>
      <c r="B179" s="53"/>
      <c r="C179" s="46"/>
      <c r="D179" s="46"/>
      <c r="E179" s="46"/>
      <c r="F179" s="46"/>
      <c r="G179" s="46"/>
      <c r="H179" s="46"/>
      <c r="I179" s="46"/>
      <c r="J179" s="46"/>
      <c r="K179" s="46"/>
      <c r="L179" s="46"/>
      <c r="M179" s="46"/>
      <c r="N179" s="46"/>
      <c r="O179" s="33">
        <f t="shared" si="23"/>
        <v>0</v>
      </c>
    </row>
    <row r="180" spans="1:15" ht="15" customHeight="1" x14ac:dyDescent="0.4">
      <c r="A180" s="69" t="s">
        <v>150</v>
      </c>
      <c r="B180" s="53"/>
      <c r="C180" s="46"/>
      <c r="D180" s="46"/>
      <c r="E180" s="46"/>
      <c r="F180" s="46"/>
      <c r="G180" s="46"/>
      <c r="H180" s="46"/>
      <c r="I180" s="46"/>
      <c r="J180" s="46"/>
      <c r="K180" s="46"/>
      <c r="L180" s="46"/>
      <c r="M180" s="46"/>
      <c r="N180" s="46"/>
      <c r="O180" s="33">
        <f t="shared" si="23"/>
        <v>0</v>
      </c>
    </row>
    <row r="181" spans="1:15" ht="15" customHeight="1" x14ac:dyDescent="0.4">
      <c r="A181" s="69" t="s">
        <v>151</v>
      </c>
      <c r="B181" s="54"/>
      <c r="C181" s="46"/>
      <c r="D181" s="46"/>
      <c r="E181" s="46"/>
      <c r="F181" s="46"/>
      <c r="G181" s="46"/>
      <c r="H181" s="46"/>
      <c r="I181" s="46"/>
      <c r="J181" s="46"/>
      <c r="K181" s="46"/>
      <c r="L181" s="46"/>
      <c r="M181" s="46"/>
      <c r="N181" s="46"/>
      <c r="O181" s="33">
        <f t="shared" si="23"/>
        <v>0</v>
      </c>
    </row>
    <row r="182" spans="1:15" ht="15" customHeight="1" x14ac:dyDescent="0.4">
      <c r="A182" s="69" t="s">
        <v>152</v>
      </c>
      <c r="B182" s="54"/>
      <c r="C182" s="46"/>
      <c r="D182" s="46"/>
      <c r="E182" s="46"/>
      <c r="F182" s="46"/>
      <c r="G182" s="46"/>
      <c r="H182" s="46"/>
      <c r="I182" s="46"/>
      <c r="J182" s="46"/>
      <c r="K182" s="46"/>
      <c r="L182" s="51"/>
      <c r="M182" s="46"/>
      <c r="N182" s="46"/>
      <c r="O182" s="33">
        <f t="shared" si="23"/>
        <v>0</v>
      </c>
    </row>
    <row r="183" spans="1:15" ht="15" customHeight="1" x14ac:dyDescent="0.4">
      <c r="A183" s="69" t="s">
        <v>153</v>
      </c>
      <c r="B183" s="54"/>
      <c r="C183" s="46"/>
      <c r="D183" s="46"/>
      <c r="E183" s="46"/>
      <c r="F183" s="46"/>
      <c r="G183" s="46"/>
      <c r="H183" s="46"/>
      <c r="I183" s="46"/>
      <c r="J183" s="46"/>
      <c r="K183" s="46"/>
      <c r="L183" s="51"/>
      <c r="M183" s="46"/>
      <c r="N183" s="46"/>
      <c r="O183" s="33">
        <f t="shared" si="23"/>
        <v>0</v>
      </c>
    </row>
    <row r="184" spans="1:15" ht="15" customHeight="1" thickBot="1" x14ac:dyDescent="0.45">
      <c r="A184" s="21" t="s">
        <v>55</v>
      </c>
      <c r="B184" s="21"/>
      <c r="C184" s="22" t="str">
        <f t="shared" ref="C184:N184" si="24">IF(SUM(C176:C183)=C159,"OK","ERRO!")</f>
        <v>OK</v>
      </c>
      <c r="D184" s="22" t="str">
        <f t="shared" si="24"/>
        <v>OK</v>
      </c>
      <c r="E184" s="22" t="str">
        <f t="shared" si="24"/>
        <v>OK</v>
      </c>
      <c r="F184" s="22" t="str">
        <f t="shared" si="24"/>
        <v>OK</v>
      </c>
      <c r="G184" s="22" t="str">
        <f t="shared" si="24"/>
        <v>OK</v>
      </c>
      <c r="H184" s="22" t="str">
        <f t="shared" si="24"/>
        <v>OK</v>
      </c>
      <c r="I184" s="22" t="str">
        <f t="shared" si="24"/>
        <v>OK</v>
      </c>
      <c r="J184" s="22" t="str">
        <f t="shared" si="24"/>
        <v>OK</v>
      </c>
      <c r="K184" s="22" t="str">
        <f t="shared" si="24"/>
        <v>OK</v>
      </c>
      <c r="L184" s="22" t="str">
        <f t="shared" si="24"/>
        <v>OK</v>
      </c>
      <c r="M184" s="22" t="str">
        <f t="shared" si="24"/>
        <v>OK</v>
      </c>
      <c r="N184" s="22" t="str">
        <f t="shared" si="24"/>
        <v>OK</v>
      </c>
      <c r="O184" s="65">
        <f>SUM(O176:O183)</f>
        <v>0</v>
      </c>
    </row>
    <row r="185" spans="1:15" ht="15" customHeight="1" thickBot="1" x14ac:dyDescent="0.45">
      <c r="A185" s="87" t="s">
        <v>154</v>
      </c>
      <c r="B185" s="87"/>
      <c r="C185" s="87"/>
      <c r="D185" s="87"/>
      <c r="E185" s="87"/>
      <c r="F185" s="87"/>
      <c r="G185" s="87"/>
      <c r="H185" s="87"/>
      <c r="I185" s="87"/>
      <c r="J185" s="87"/>
      <c r="K185" s="87"/>
      <c r="L185" s="87"/>
      <c r="M185" s="87"/>
      <c r="N185" s="87"/>
      <c r="O185" s="87"/>
    </row>
    <row r="186" spans="1:15" ht="15" customHeight="1" x14ac:dyDescent="0.4">
      <c r="A186" s="96" t="s">
        <v>155</v>
      </c>
      <c r="B186" s="89"/>
      <c r="C186" s="89"/>
      <c r="D186" s="89"/>
      <c r="E186" s="89"/>
      <c r="F186" s="89"/>
      <c r="G186" s="89"/>
      <c r="H186" s="89"/>
      <c r="I186" s="89"/>
      <c r="J186" s="89"/>
      <c r="K186" s="89"/>
      <c r="L186" s="89"/>
      <c r="M186" s="89"/>
      <c r="N186" s="89"/>
      <c r="O186" s="89"/>
    </row>
    <row r="187" spans="1:15" ht="15" customHeight="1" x14ac:dyDescent="0.4">
      <c r="A187" s="90"/>
      <c r="B187" s="90"/>
      <c r="C187" s="90"/>
      <c r="D187" s="90"/>
      <c r="E187" s="90"/>
      <c r="F187" s="90"/>
      <c r="G187" s="90"/>
      <c r="H187" s="90"/>
      <c r="I187" s="90"/>
      <c r="J187" s="90"/>
      <c r="K187" s="90"/>
      <c r="L187" s="90"/>
      <c r="M187" s="90"/>
      <c r="N187" s="90"/>
      <c r="O187" s="90"/>
    </row>
    <row r="188" spans="1:15" ht="15" customHeight="1" x14ac:dyDescent="0.4">
      <c r="A188" s="91"/>
      <c r="B188" s="91"/>
      <c r="C188" s="91"/>
      <c r="D188" s="91"/>
      <c r="E188" s="91"/>
      <c r="F188" s="91"/>
      <c r="G188" s="91"/>
      <c r="H188" s="91"/>
      <c r="I188" s="91"/>
      <c r="J188" s="91"/>
      <c r="K188" s="91"/>
      <c r="L188" s="91"/>
      <c r="M188" s="91"/>
      <c r="N188" s="91"/>
      <c r="O188" s="91"/>
    </row>
    <row r="189" spans="1:15" ht="15" customHeight="1" x14ac:dyDescent="0.4">
      <c r="A189" s="91"/>
      <c r="B189" s="91"/>
      <c r="C189" s="91"/>
      <c r="D189" s="91"/>
      <c r="E189" s="91"/>
      <c r="F189" s="91"/>
      <c r="G189" s="91"/>
      <c r="H189" s="91"/>
      <c r="I189" s="91"/>
      <c r="J189" s="91"/>
      <c r="K189" s="91"/>
      <c r="L189" s="91"/>
      <c r="M189" s="91"/>
      <c r="N189" s="91"/>
      <c r="O189" s="91"/>
    </row>
    <row r="190" spans="1:15" ht="15" customHeight="1" thickBot="1" x14ac:dyDescent="0.45">
      <c r="A190" s="91"/>
      <c r="B190" s="91"/>
      <c r="C190" s="91"/>
      <c r="D190" s="91"/>
      <c r="E190" s="91"/>
      <c r="F190" s="91"/>
      <c r="G190" s="91"/>
      <c r="H190" s="91"/>
      <c r="I190" s="91"/>
      <c r="J190" s="91"/>
      <c r="K190" s="91"/>
      <c r="L190" s="91"/>
      <c r="M190" s="91"/>
      <c r="N190" s="91"/>
      <c r="O190" s="91"/>
    </row>
    <row r="191" spans="1:15" ht="15" customHeight="1" thickBot="1" x14ac:dyDescent="0.45">
      <c r="A191" s="87" t="s">
        <v>139</v>
      </c>
      <c r="B191" s="87"/>
      <c r="C191" s="87"/>
      <c r="D191" s="87"/>
      <c r="E191" s="87"/>
      <c r="F191" s="87"/>
      <c r="G191" s="87"/>
      <c r="H191" s="87"/>
      <c r="I191" s="87"/>
      <c r="J191" s="87"/>
      <c r="K191" s="87"/>
      <c r="L191" s="87"/>
      <c r="M191" s="87"/>
      <c r="N191" s="87"/>
      <c r="O191" s="87"/>
    </row>
    <row r="192" spans="1:15" ht="15" customHeight="1" x14ac:dyDescent="0.4">
      <c r="A192" s="31"/>
      <c r="B192" s="31"/>
      <c r="C192" s="86" t="s">
        <v>68</v>
      </c>
      <c r="D192" s="86"/>
      <c r="E192" s="86"/>
      <c r="F192" s="86"/>
      <c r="G192" s="86"/>
      <c r="H192" s="86"/>
      <c r="I192" s="86"/>
      <c r="J192" s="86"/>
      <c r="K192" s="86"/>
      <c r="L192" s="86"/>
      <c r="M192" s="86"/>
      <c r="N192" s="86"/>
      <c r="O192" s="86"/>
    </row>
    <row r="193" spans="1:36" ht="15" customHeight="1" x14ac:dyDescent="0.4">
      <c r="B193" s="39">
        <v>2024</v>
      </c>
      <c r="C193" s="29" t="s">
        <v>11</v>
      </c>
      <c r="D193" s="29" t="s">
        <v>12</v>
      </c>
      <c r="E193" s="29" t="s">
        <v>13</v>
      </c>
      <c r="F193" s="29" t="s">
        <v>14</v>
      </c>
      <c r="G193" s="29" t="s">
        <v>15</v>
      </c>
      <c r="H193" s="29" t="s">
        <v>16</v>
      </c>
      <c r="I193" s="29" t="s">
        <v>17</v>
      </c>
      <c r="J193" s="29" t="s">
        <v>18</v>
      </c>
      <c r="K193" s="29" t="s">
        <v>19</v>
      </c>
      <c r="L193" s="29" t="s">
        <v>20</v>
      </c>
      <c r="M193" s="29" t="s">
        <v>21</v>
      </c>
      <c r="N193" s="29" t="s">
        <v>22</v>
      </c>
      <c r="O193" s="36" t="s">
        <v>23</v>
      </c>
    </row>
    <row r="194" spans="1:36" x14ac:dyDescent="0.4">
      <c r="A194" s="64" t="s">
        <v>156</v>
      </c>
      <c r="B194" s="53"/>
      <c r="C194" s="46"/>
      <c r="D194" s="46"/>
      <c r="E194" s="46"/>
      <c r="F194" s="46"/>
      <c r="G194" s="46"/>
      <c r="H194" s="46"/>
      <c r="I194" s="51"/>
      <c r="J194" s="46"/>
      <c r="K194" s="46"/>
      <c r="L194" s="51"/>
      <c r="M194" s="46"/>
      <c r="N194" s="52"/>
      <c r="O194" s="33">
        <f>SUM(B194:N194)</f>
        <v>0</v>
      </c>
      <c r="P194" s="67"/>
    </row>
    <row r="195" spans="1:36" x14ac:dyDescent="0.4">
      <c r="A195" s="69" t="s">
        <v>157</v>
      </c>
      <c r="B195" s="53"/>
      <c r="C195" s="46"/>
      <c r="D195" s="46"/>
      <c r="E195" s="46"/>
      <c r="F195" s="46"/>
      <c r="G195" s="46"/>
      <c r="H195" s="46"/>
      <c r="I195" s="46"/>
      <c r="J195" s="46"/>
      <c r="K195" s="46"/>
      <c r="L195" s="46"/>
      <c r="M195" s="46"/>
      <c r="N195" s="46"/>
      <c r="O195" s="33">
        <f>SUM(B195:N195)</f>
        <v>0</v>
      </c>
    </row>
    <row r="196" spans="1:36" s="1" customFormat="1" ht="15" customHeight="1" thickBot="1" x14ac:dyDescent="0.45">
      <c r="A196" s="21" t="s">
        <v>55</v>
      </c>
      <c r="B196" s="21"/>
      <c r="C196" s="22" t="str">
        <f t="shared" ref="C196:N196" si="25">IF(SUM(C194:C195)=C164,"OK","ERRO!")</f>
        <v>OK</v>
      </c>
      <c r="D196" s="22" t="str">
        <f t="shared" si="25"/>
        <v>OK</v>
      </c>
      <c r="E196" s="22" t="str">
        <f t="shared" si="25"/>
        <v>OK</v>
      </c>
      <c r="F196" s="22" t="str">
        <f t="shared" si="25"/>
        <v>OK</v>
      </c>
      <c r="G196" s="22" t="str">
        <f t="shared" si="25"/>
        <v>OK</v>
      </c>
      <c r="H196" s="22" t="str">
        <f t="shared" si="25"/>
        <v>OK</v>
      </c>
      <c r="I196" s="22" t="str">
        <f t="shared" si="25"/>
        <v>OK</v>
      </c>
      <c r="J196" s="22" t="str">
        <f t="shared" si="25"/>
        <v>OK</v>
      </c>
      <c r="K196" s="22" t="str">
        <f t="shared" si="25"/>
        <v>OK</v>
      </c>
      <c r="L196" s="22" t="str">
        <f t="shared" si="25"/>
        <v>OK</v>
      </c>
      <c r="M196" s="22" t="str">
        <f t="shared" si="25"/>
        <v>OK</v>
      </c>
      <c r="N196" s="22" t="str">
        <f t="shared" si="25"/>
        <v>OK</v>
      </c>
      <c r="O196" s="65">
        <f>SUM(O194:O195)</f>
        <v>0</v>
      </c>
      <c r="P196"/>
      <c r="Q196"/>
      <c r="R196"/>
      <c r="S196"/>
      <c r="T196"/>
      <c r="U196"/>
      <c r="V196"/>
      <c r="W196"/>
      <c r="X196"/>
      <c r="Y196"/>
      <c r="Z196"/>
      <c r="AA196"/>
      <c r="AB196"/>
      <c r="AC196"/>
      <c r="AD196"/>
      <c r="AE196"/>
      <c r="AF196" s="67"/>
      <c r="AG196" s="67"/>
      <c r="AH196" s="67"/>
      <c r="AI196" s="67"/>
      <c r="AJ196" s="67"/>
    </row>
    <row r="197" spans="1:36" ht="15" customHeight="1" thickBot="1" x14ac:dyDescent="0.45">
      <c r="A197"/>
      <c r="B197"/>
      <c r="C197"/>
      <c r="D197"/>
      <c r="E197"/>
      <c r="F197"/>
      <c r="G197"/>
      <c r="H197"/>
      <c r="I197"/>
      <c r="J197"/>
      <c r="K197"/>
      <c r="L197"/>
      <c r="M197"/>
      <c r="N197"/>
      <c r="O197"/>
    </row>
    <row r="198" spans="1:36" ht="15" customHeight="1" thickBot="1" x14ac:dyDescent="0.45">
      <c r="A198" s="87" t="s">
        <v>158</v>
      </c>
      <c r="B198" s="87"/>
      <c r="C198" s="87"/>
      <c r="D198" s="87"/>
      <c r="E198" s="87"/>
      <c r="F198" s="87"/>
      <c r="G198" s="87"/>
      <c r="H198" s="87"/>
      <c r="I198" s="87"/>
      <c r="J198" s="87"/>
      <c r="K198" s="87"/>
      <c r="L198" s="87"/>
      <c r="M198" s="87"/>
      <c r="N198" s="87"/>
      <c r="O198" s="87"/>
    </row>
    <row r="199" spans="1:36" ht="15" customHeight="1" x14ac:dyDescent="0.4">
      <c r="A199" s="31"/>
      <c r="B199" s="31"/>
      <c r="C199" s="86" t="s">
        <v>68</v>
      </c>
      <c r="D199" s="86"/>
      <c r="E199" s="86"/>
      <c r="F199" s="86"/>
      <c r="G199" s="86"/>
      <c r="H199" s="86"/>
      <c r="I199" s="86"/>
      <c r="J199" s="86"/>
      <c r="K199" s="86"/>
      <c r="L199" s="86"/>
      <c r="M199" s="86"/>
      <c r="N199" s="86"/>
      <c r="O199" s="86"/>
    </row>
    <row r="200" spans="1:36" ht="15" customHeight="1" x14ac:dyDescent="0.4">
      <c r="B200" s="39">
        <v>2024</v>
      </c>
      <c r="C200" s="29" t="s">
        <v>11</v>
      </c>
      <c r="D200" s="29" t="s">
        <v>12</v>
      </c>
      <c r="E200" s="29" t="s">
        <v>13</v>
      </c>
      <c r="F200" s="29" t="s">
        <v>14</v>
      </c>
      <c r="G200" s="29" t="s">
        <v>15</v>
      </c>
      <c r="H200" s="29" t="s">
        <v>16</v>
      </c>
      <c r="I200" s="29" t="s">
        <v>17</v>
      </c>
      <c r="J200" s="29" t="s">
        <v>18</v>
      </c>
      <c r="K200" s="29" t="s">
        <v>19</v>
      </c>
      <c r="L200" s="29" t="s">
        <v>20</v>
      </c>
      <c r="M200" s="29" t="s">
        <v>21</v>
      </c>
      <c r="N200" s="29" t="s">
        <v>22</v>
      </c>
      <c r="O200" s="36" t="s">
        <v>23</v>
      </c>
    </row>
    <row r="201" spans="1:36" ht="15" customHeight="1" x14ac:dyDescent="0.4">
      <c r="A201" s="64" t="s">
        <v>159</v>
      </c>
      <c r="B201" s="53"/>
      <c r="C201" s="46"/>
      <c r="D201" s="46"/>
      <c r="E201" s="46"/>
      <c r="F201" s="46"/>
      <c r="G201" s="46"/>
      <c r="H201" s="46"/>
      <c r="I201" s="51"/>
      <c r="J201" s="46"/>
      <c r="K201" s="46"/>
      <c r="L201" s="51"/>
      <c r="M201" s="46"/>
      <c r="N201" s="52"/>
      <c r="O201" s="33">
        <f t="shared" ref="O201:O206" si="26">SUM(B201:N201)</f>
        <v>0</v>
      </c>
    </row>
    <row r="202" spans="1:36" ht="13.5" customHeight="1" x14ac:dyDescent="0.4">
      <c r="A202" s="69" t="s">
        <v>160</v>
      </c>
      <c r="B202" s="53"/>
      <c r="C202" s="46"/>
      <c r="D202" s="46"/>
      <c r="E202" s="46"/>
      <c r="F202" s="46"/>
      <c r="G202" s="46"/>
      <c r="H202" s="46"/>
      <c r="I202" s="46"/>
      <c r="J202" s="46"/>
      <c r="K202" s="46"/>
      <c r="L202" s="46"/>
      <c r="M202" s="46"/>
      <c r="N202" s="46"/>
      <c r="O202" s="33">
        <f t="shared" si="26"/>
        <v>0</v>
      </c>
    </row>
    <row r="203" spans="1:36" ht="15" customHeight="1" x14ac:dyDescent="0.4">
      <c r="A203" s="69" t="s">
        <v>161</v>
      </c>
      <c r="B203" s="53"/>
      <c r="C203" s="46"/>
      <c r="D203" s="46"/>
      <c r="E203" s="46"/>
      <c r="F203" s="46"/>
      <c r="G203" s="46"/>
      <c r="H203" s="46"/>
      <c r="I203" s="46"/>
      <c r="J203" s="46"/>
      <c r="K203" s="46"/>
      <c r="L203" s="46"/>
      <c r="M203" s="46"/>
      <c r="N203" s="46"/>
      <c r="O203" s="33">
        <f t="shared" si="26"/>
        <v>0</v>
      </c>
    </row>
    <row r="204" spans="1:36" ht="15" customHeight="1" x14ac:dyDescent="0.4">
      <c r="A204" s="69" t="s">
        <v>162</v>
      </c>
      <c r="B204" s="53"/>
      <c r="C204" s="46"/>
      <c r="D204" s="46"/>
      <c r="E204" s="46"/>
      <c r="F204" s="46"/>
      <c r="G204" s="46"/>
      <c r="H204" s="46"/>
      <c r="I204" s="46"/>
      <c r="J204" s="46"/>
      <c r="K204" s="46"/>
      <c r="L204" s="46"/>
      <c r="M204" s="46"/>
      <c r="N204" s="46"/>
      <c r="O204" s="33">
        <f t="shared" si="26"/>
        <v>0</v>
      </c>
    </row>
    <row r="205" spans="1:36" x14ac:dyDescent="0.4">
      <c r="A205" s="69" t="s">
        <v>163</v>
      </c>
      <c r="B205" s="53"/>
      <c r="C205" s="46"/>
      <c r="D205" s="46"/>
      <c r="E205" s="46"/>
      <c r="F205" s="46"/>
      <c r="G205" s="46"/>
      <c r="H205" s="46"/>
      <c r="I205" s="46"/>
      <c r="J205" s="46"/>
      <c r="K205" s="46"/>
      <c r="L205" s="46"/>
      <c r="M205" s="46"/>
      <c r="N205" s="46"/>
      <c r="O205" s="33">
        <f t="shared" si="26"/>
        <v>0</v>
      </c>
    </row>
    <row r="206" spans="1:36" ht="15" customHeight="1" x14ac:dyDescent="0.4">
      <c r="A206" s="69" t="s">
        <v>164</v>
      </c>
      <c r="B206" s="54"/>
      <c r="C206" s="46"/>
      <c r="D206" s="46"/>
      <c r="E206" s="46"/>
      <c r="F206" s="46"/>
      <c r="G206" s="46"/>
      <c r="H206" s="46"/>
      <c r="I206" s="46"/>
      <c r="J206" s="46"/>
      <c r="K206" s="46"/>
      <c r="L206" s="46"/>
      <c r="M206" s="46"/>
      <c r="N206" s="46"/>
      <c r="O206" s="33">
        <f t="shared" si="26"/>
        <v>0</v>
      </c>
    </row>
    <row r="207" spans="1:36" ht="15" customHeight="1" thickBot="1" x14ac:dyDescent="0.45">
      <c r="A207" s="21" t="s">
        <v>55</v>
      </c>
      <c r="B207" s="21"/>
      <c r="C207" s="22" t="str">
        <f t="shared" ref="C207:N207" si="27">IF(SUM(C201:C206)=C167,"OK","ERRO!")</f>
        <v>OK</v>
      </c>
      <c r="D207" s="22" t="str">
        <f t="shared" si="27"/>
        <v>OK</v>
      </c>
      <c r="E207" s="22" t="str">
        <f t="shared" si="27"/>
        <v>OK</v>
      </c>
      <c r="F207" s="22" t="str">
        <f t="shared" si="27"/>
        <v>OK</v>
      </c>
      <c r="G207" s="22" t="str">
        <f t="shared" si="27"/>
        <v>OK</v>
      </c>
      <c r="H207" s="22" t="str">
        <f t="shared" si="27"/>
        <v>OK</v>
      </c>
      <c r="I207" s="22" t="str">
        <f t="shared" si="27"/>
        <v>OK</v>
      </c>
      <c r="J207" s="22" t="str">
        <f t="shared" si="27"/>
        <v>OK</v>
      </c>
      <c r="K207" s="22" t="str">
        <f t="shared" si="27"/>
        <v>OK</v>
      </c>
      <c r="L207" s="22" t="str">
        <f t="shared" si="27"/>
        <v>OK</v>
      </c>
      <c r="M207" s="22" t="str">
        <f t="shared" si="27"/>
        <v>OK</v>
      </c>
      <c r="N207" s="22" t="str">
        <f t="shared" si="27"/>
        <v>OK</v>
      </c>
      <c r="O207" s="65">
        <f>SUM(O201:O206)</f>
        <v>0</v>
      </c>
    </row>
    <row r="208" spans="1:36" ht="14" thickBot="1" x14ac:dyDescent="0.45">
      <c r="A208" s="87" t="s">
        <v>144</v>
      </c>
      <c r="B208" s="87"/>
      <c r="C208" s="87"/>
      <c r="D208" s="87"/>
      <c r="E208" s="87"/>
      <c r="F208" s="87"/>
      <c r="G208" s="87"/>
      <c r="H208" s="87"/>
      <c r="I208" s="87"/>
      <c r="J208" s="87"/>
      <c r="K208" s="87"/>
      <c r="L208" s="87"/>
      <c r="M208" s="87"/>
      <c r="N208" s="87"/>
      <c r="O208" s="87"/>
    </row>
    <row r="209" spans="1:15" x14ac:dyDescent="0.4">
      <c r="A209" s="89" t="s">
        <v>165</v>
      </c>
      <c r="B209" s="89"/>
      <c r="C209" s="89"/>
      <c r="D209" s="89"/>
      <c r="E209" s="89"/>
      <c r="F209" s="89"/>
      <c r="G209" s="89"/>
      <c r="H209" s="89"/>
      <c r="I209" s="89"/>
      <c r="J209" s="89"/>
      <c r="K209" s="89"/>
      <c r="L209" s="89"/>
      <c r="M209" s="89"/>
      <c r="N209" s="89"/>
      <c r="O209" s="89"/>
    </row>
    <row r="210" spans="1:15" ht="15" customHeight="1" x14ac:dyDescent="0.4">
      <c r="A210" s="97"/>
      <c r="B210" s="91"/>
      <c r="C210" s="91"/>
      <c r="D210" s="91"/>
      <c r="E210" s="91"/>
      <c r="F210" s="91"/>
      <c r="G210" s="91"/>
      <c r="H210" s="91"/>
      <c r="I210" s="91"/>
      <c r="J210" s="91"/>
      <c r="K210" s="91"/>
      <c r="L210" s="91"/>
      <c r="M210" s="91"/>
      <c r="N210" s="91"/>
      <c r="O210" s="91"/>
    </row>
    <row r="211" spans="1:15" ht="15" customHeight="1" x14ac:dyDescent="0.4">
      <c r="A211" s="91"/>
      <c r="B211" s="91"/>
      <c r="C211" s="91"/>
      <c r="D211" s="91"/>
      <c r="E211" s="91"/>
      <c r="F211" s="91"/>
      <c r="G211" s="91"/>
      <c r="H211" s="91"/>
      <c r="I211" s="91"/>
      <c r="J211" s="91"/>
      <c r="K211" s="91"/>
      <c r="L211" s="91"/>
      <c r="M211" s="91"/>
      <c r="N211" s="91"/>
      <c r="O211" s="91"/>
    </row>
    <row r="212" spans="1:15" ht="15" customHeight="1" x14ac:dyDescent="0.4">
      <c r="A212" s="91"/>
      <c r="B212" s="91"/>
      <c r="C212" s="91"/>
      <c r="D212" s="91"/>
      <c r="E212" s="91"/>
      <c r="F212" s="91"/>
      <c r="G212" s="91"/>
      <c r="H212" s="91"/>
      <c r="I212" s="91"/>
      <c r="J212" s="91"/>
      <c r="K212" s="91"/>
      <c r="L212" s="91"/>
      <c r="M212" s="91"/>
      <c r="N212" s="91"/>
      <c r="O212" s="91"/>
    </row>
    <row r="213" spans="1:15" ht="15" customHeight="1" thickBot="1" x14ac:dyDescent="0.45">
      <c r="A213" s="91"/>
      <c r="B213" s="91"/>
      <c r="C213" s="91"/>
      <c r="D213" s="91"/>
      <c r="E213" s="91"/>
      <c r="F213" s="91"/>
      <c r="G213" s="91"/>
      <c r="H213" s="91"/>
      <c r="I213" s="91"/>
      <c r="J213" s="91"/>
      <c r="K213" s="91"/>
      <c r="L213" s="91"/>
      <c r="M213" s="91"/>
      <c r="N213" s="91"/>
      <c r="O213" s="91"/>
    </row>
    <row r="214" spans="1:15" ht="15" customHeight="1" thickBot="1" x14ac:dyDescent="0.45">
      <c r="A214" s="87" t="s">
        <v>166</v>
      </c>
      <c r="B214" s="87"/>
      <c r="C214" s="87"/>
      <c r="D214" s="87"/>
      <c r="E214" s="87"/>
      <c r="F214" s="87"/>
      <c r="G214" s="87"/>
      <c r="H214" s="87"/>
      <c r="I214" s="87"/>
      <c r="J214" s="87"/>
      <c r="K214" s="87"/>
      <c r="L214" s="87"/>
      <c r="M214" s="87"/>
      <c r="N214" s="87"/>
      <c r="O214" s="87"/>
    </row>
    <row r="215" spans="1:15" ht="15" customHeight="1" x14ac:dyDescent="0.4">
      <c r="C215" s="86" t="s">
        <v>68</v>
      </c>
      <c r="D215" s="86"/>
      <c r="E215" s="86"/>
      <c r="F215" s="86"/>
      <c r="G215" s="86"/>
      <c r="H215" s="86"/>
      <c r="I215" s="86"/>
      <c r="J215" s="86"/>
      <c r="K215" s="86"/>
      <c r="L215" s="86"/>
      <c r="M215" s="86"/>
      <c r="N215" s="86"/>
      <c r="O215" s="86"/>
    </row>
    <row r="216" spans="1:15" ht="15" customHeight="1" x14ac:dyDescent="0.4">
      <c r="A216" s="20"/>
      <c r="B216" s="39">
        <v>2024</v>
      </c>
      <c r="C216" s="29" t="s">
        <v>11</v>
      </c>
      <c r="D216" s="29" t="s">
        <v>12</v>
      </c>
      <c r="E216" s="29" t="s">
        <v>13</v>
      </c>
      <c r="F216" s="29" t="s">
        <v>14</v>
      </c>
      <c r="G216" s="29" t="s">
        <v>15</v>
      </c>
      <c r="H216" s="29" t="s">
        <v>16</v>
      </c>
      <c r="I216" s="29" t="s">
        <v>17</v>
      </c>
      <c r="J216" s="29" t="s">
        <v>18</v>
      </c>
      <c r="K216" s="29" t="s">
        <v>19</v>
      </c>
      <c r="L216" s="29" t="s">
        <v>20</v>
      </c>
      <c r="M216" s="29" t="s">
        <v>21</v>
      </c>
      <c r="N216" s="29" t="s">
        <v>22</v>
      </c>
      <c r="O216" s="36" t="s">
        <v>23</v>
      </c>
    </row>
    <row r="217" spans="1:15" ht="15" customHeight="1" x14ac:dyDescent="0.4">
      <c r="A217" s="64" t="s">
        <v>167</v>
      </c>
      <c r="B217" s="46"/>
      <c r="C217" s="46"/>
      <c r="D217" s="46"/>
      <c r="E217" s="46"/>
      <c r="F217" s="46"/>
      <c r="G217" s="46"/>
      <c r="H217" s="46"/>
      <c r="I217" s="46"/>
      <c r="J217" s="46"/>
      <c r="K217" s="46"/>
      <c r="L217" s="46"/>
      <c r="M217" s="46"/>
      <c r="N217" s="52"/>
      <c r="O217" s="33">
        <f t="shared" ref="O217:O225" si="28">SUM(B217:N217)</f>
        <v>0</v>
      </c>
    </row>
    <row r="218" spans="1:15" ht="15" customHeight="1" x14ac:dyDescent="0.4">
      <c r="A218" s="64" t="s">
        <v>168</v>
      </c>
      <c r="B218" s="46"/>
      <c r="C218" s="46"/>
      <c r="D218" s="46"/>
      <c r="E218" s="46"/>
      <c r="F218" s="46"/>
      <c r="G218" s="46"/>
      <c r="H218" s="46"/>
      <c r="I218" s="46"/>
      <c r="J218" s="46"/>
      <c r="K218" s="46"/>
      <c r="L218" s="46"/>
      <c r="M218" s="46"/>
      <c r="N218" s="52"/>
      <c r="O218" s="33">
        <f t="shared" si="28"/>
        <v>0</v>
      </c>
    </row>
    <row r="219" spans="1:15" ht="15" customHeight="1" x14ac:dyDescent="0.4">
      <c r="A219" s="64" t="s">
        <v>169</v>
      </c>
      <c r="B219" s="46"/>
      <c r="C219" s="46"/>
      <c r="D219" s="46"/>
      <c r="E219" s="46"/>
      <c r="F219" s="46"/>
      <c r="G219" s="46"/>
      <c r="H219" s="46"/>
      <c r="I219" s="46"/>
      <c r="J219" s="46"/>
      <c r="K219" s="46"/>
      <c r="L219" s="46"/>
      <c r="M219" s="46"/>
      <c r="N219" s="52"/>
      <c r="O219" s="33">
        <f t="shared" si="28"/>
        <v>0</v>
      </c>
    </row>
    <row r="220" spans="1:15" ht="15" customHeight="1" x14ac:dyDescent="0.4">
      <c r="A220" s="64" t="s">
        <v>170</v>
      </c>
      <c r="B220" s="46"/>
      <c r="C220" s="46"/>
      <c r="D220" s="46"/>
      <c r="E220" s="46"/>
      <c r="F220" s="46"/>
      <c r="G220" s="46"/>
      <c r="H220" s="46"/>
      <c r="I220" s="46"/>
      <c r="J220" s="46"/>
      <c r="K220" s="46"/>
      <c r="L220" s="46"/>
      <c r="M220" s="46"/>
      <c r="N220" s="46"/>
      <c r="O220" s="33">
        <f t="shared" si="28"/>
        <v>0</v>
      </c>
    </row>
    <row r="221" spans="1:15" ht="15" customHeight="1" x14ac:dyDescent="0.4">
      <c r="A221" s="64" t="s">
        <v>171</v>
      </c>
      <c r="B221" s="46"/>
      <c r="C221" s="46"/>
      <c r="D221" s="46"/>
      <c r="E221" s="46"/>
      <c r="F221" s="46"/>
      <c r="G221" s="46"/>
      <c r="H221" s="46"/>
      <c r="I221" s="46"/>
      <c r="J221" s="46"/>
      <c r="K221" s="46"/>
      <c r="L221" s="46"/>
      <c r="M221" s="46"/>
      <c r="N221" s="46"/>
      <c r="O221" s="33">
        <f t="shared" si="28"/>
        <v>0</v>
      </c>
    </row>
    <row r="222" spans="1:15" ht="15" customHeight="1" x14ac:dyDescent="0.4">
      <c r="A222" s="64" t="s">
        <v>172</v>
      </c>
      <c r="B222" s="46"/>
      <c r="C222" s="46"/>
      <c r="D222" s="46"/>
      <c r="E222" s="46"/>
      <c r="F222" s="46"/>
      <c r="G222" s="46"/>
      <c r="H222" s="46"/>
      <c r="I222" s="46"/>
      <c r="J222" s="46"/>
      <c r="K222" s="46"/>
      <c r="L222" s="46"/>
      <c r="M222" s="46"/>
      <c r="N222" s="46"/>
      <c r="O222" s="33">
        <f t="shared" si="28"/>
        <v>0</v>
      </c>
    </row>
    <row r="223" spans="1:15" ht="15" customHeight="1" x14ac:dyDescent="0.4">
      <c r="A223" s="64" t="s">
        <v>173</v>
      </c>
      <c r="B223" s="46"/>
      <c r="C223" s="46"/>
      <c r="D223" s="46"/>
      <c r="E223" s="46"/>
      <c r="F223" s="46"/>
      <c r="G223" s="46"/>
      <c r="H223" s="46"/>
      <c r="I223" s="46"/>
      <c r="J223" s="46"/>
      <c r="K223" s="46"/>
      <c r="L223" s="46"/>
      <c r="M223" s="46"/>
      <c r="N223" s="46"/>
      <c r="O223" s="33">
        <f t="shared" si="28"/>
        <v>0</v>
      </c>
    </row>
    <row r="224" spans="1:15" ht="15" customHeight="1" x14ac:dyDescent="0.4">
      <c r="A224" s="69" t="s">
        <v>174</v>
      </c>
      <c r="B224" s="46"/>
      <c r="C224" s="46"/>
      <c r="D224" s="46"/>
      <c r="E224" s="46"/>
      <c r="F224" s="46"/>
      <c r="G224" s="46"/>
      <c r="H224" s="46"/>
      <c r="I224" s="46"/>
      <c r="J224" s="46"/>
      <c r="K224" s="46"/>
      <c r="L224" s="46"/>
      <c r="M224" s="46"/>
      <c r="N224" s="46"/>
      <c r="O224" s="33">
        <f t="shared" si="28"/>
        <v>0</v>
      </c>
    </row>
    <row r="225" spans="1:15" ht="15" customHeight="1" x14ac:dyDescent="0.4">
      <c r="A225" s="64" t="s">
        <v>83</v>
      </c>
      <c r="B225" s="46"/>
      <c r="C225" s="46"/>
      <c r="D225" s="46"/>
      <c r="E225" s="46"/>
      <c r="F225" s="46"/>
      <c r="G225" s="46"/>
      <c r="H225" s="46"/>
      <c r="I225" s="51"/>
      <c r="J225" s="46"/>
      <c r="K225" s="46"/>
      <c r="L225" s="51"/>
      <c r="M225" s="46"/>
      <c r="N225" s="52"/>
      <c r="O225" s="33">
        <f t="shared" si="28"/>
        <v>0</v>
      </c>
    </row>
    <row r="226" spans="1:15" ht="15" customHeight="1" x14ac:dyDescent="0.4">
      <c r="A226" s="77" t="s">
        <v>55</v>
      </c>
      <c r="B226" s="77"/>
      <c r="C226" s="78" t="str">
        <f t="shared" ref="C226:N226" si="29">IF(SUM(C217:C225)=C34+C36,"OK","ERRO!")</f>
        <v>ERRO!</v>
      </c>
      <c r="D226" s="78" t="str">
        <f t="shared" si="29"/>
        <v>OK</v>
      </c>
      <c r="E226" s="78" t="str">
        <f t="shared" si="29"/>
        <v>OK</v>
      </c>
      <c r="F226" s="78" t="str">
        <f t="shared" si="29"/>
        <v>OK</v>
      </c>
      <c r="G226" s="78" t="str">
        <f t="shared" si="29"/>
        <v>OK</v>
      </c>
      <c r="H226" s="78" t="str">
        <f t="shared" si="29"/>
        <v>OK</v>
      </c>
      <c r="I226" s="78" t="str">
        <f t="shared" si="29"/>
        <v>OK</v>
      </c>
      <c r="J226" s="78" t="str">
        <f t="shared" si="29"/>
        <v>OK</v>
      </c>
      <c r="K226" s="78" t="str">
        <f t="shared" si="29"/>
        <v>OK</v>
      </c>
      <c r="L226" s="78" t="str">
        <f t="shared" si="29"/>
        <v>OK</v>
      </c>
      <c r="M226" s="78" t="str">
        <f t="shared" si="29"/>
        <v>OK</v>
      </c>
      <c r="N226" s="78" t="str">
        <f t="shared" si="29"/>
        <v>OK</v>
      </c>
      <c r="O226" s="79">
        <f>SUM(O217:O225)</f>
        <v>0</v>
      </c>
    </row>
    <row r="227" spans="1:15" ht="15" customHeight="1" thickBot="1" x14ac:dyDescent="0.45">
      <c r="A227" s="99" t="s">
        <v>175</v>
      </c>
      <c r="B227" s="99"/>
      <c r="C227" s="99"/>
      <c r="D227" s="99"/>
      <c r="E227" s="99"/>
      <c r="F227" s="99"/>
      <c r="G227" s="99"/>
      <c r="H227" s="99"/>
      <c r="I227" s="99"/>
      <c r="J227" s="99"/>
      <c r="K227" s="99"/>
      <c r="L227" s="99"/>
      <c r="M227" s="99"/>
      <c r="N227" s="99"/>
      <c r="O227" s="99"/>
    </row>
    <row r="228" spans="1:15" ht="15" customHeight="1" x14ac:dyDescent="0.4">
      <c r="A228" s="31"/>
      <c r="B228" s="31"/>
      <c r="C228" s="86" t="s">
        <v>68</v>
      </c>
      <c r="D228" s="86"/>
      <c r="E228" s="86"/>
      <c r="F228" s="86"/>
      <c r="G228" s="86"/>
      <c r="H228" s="86"/>
      <c r="I228" s="86"/>
      <c r="J228" s="86"/>
      <c r="K228" s="86"/>
      <c r="L228" s="86"/>
      <c r="M228" s="86"/>
      <c r="N228" s="86"/>
      <c r="O228" s="86"/>
    </row>
    <row r="229" spans="1:15" ht="15" customHeight="1" x14ac:dyDescent="0.4">
      <c r="B229" s="39">
        <v>2024</v>
      </c>
      <c r="C229" s="29" t="s">
        <v>11</v>
      </c>
      <c r="D229" s="29" t="s">
        <v>12</v>
      </c>
      <c r="E229" s="29" t="s">
        <v>13</v>
      </c>
      <c r="F229" s="29" t="s">
        <v>14</v>
      </c>
      <c r="G229" s="29" t="s">
        <v>15</v>
      </c>
      <c r="H229" s="29" t="s">
        <v>16</v>
      </c>
      <c r="I229" s="29" t="s">
        <v>17</v>
      </c>
      <c r="J229" s="29" t="s">
        <v>18</v>
      </c>
      <c r="K229" s="29" t="s">
        <v>19</v>
      </c>
      <c r="L229" s="29" t="s">
        <v>20</v>
      </c>
      <c r="M229" s="29" t="s">
        <v>21</v>
      </c>
      <c r="N229" s="29" t="s">
        <v>22</v>
      </c>
      <c r="O229" s="36" t="s">
        <v>23</v>
      </c>
    </row>
    <row r="230" spans="1:15" ht="15" customHeight="1" x14ac:dyDescent="0.4">
      <c r="A230" s="3" t="s">
        <v>176</v>
      </c>
      <c r="B230" s="68"/>
      <c r="C230" s="46"/>
      <c r="D230" s="46"/>
      <c r="E230" s="46"/>
      <c r="F230" s="46"/>
      <c r="G230" s="46"/>
      <c r="H230" s="46"/>
      <c r="I230" s="46"/>
      <c r="J230" s="46"/>
      <c r="K230" s="46"/>
      <c r="L230" s="46"/>
      <c r="M230" s="46"/>
      <c r="N230" s="46"/>
      <c r="O230" s="33">
        <f t="shared" ref="O230:O238" si="30">SUM(B230:N230)</f>
        <v>0</v>
      </c>
    </row>
    <row r="231" spans="1:15" ht="15" customHeight="1" x14ac:dyDescent="0.4">
      <c r="A231" s="3" t="s">
        <v>177</v>
      </c>
      <c r="B231" s="68"/>
      <c r="C231" s="46"/>
      <c r="D231" s="46"/>
      <c r="E231" s="46"/>
      <c r="F231" s="46"/>
      <c r="G231" s="46"/>
      <c r="H231" s="46"/>
      <c r="I231" s="46"/>
      <c r="J231" s="46"/>
      <c r="K231" s="46"/>
      <c r="L231" s="46"/>
      <c r="M231" s="46"/>
      <c r="N231" s="46"/>
      <c r="O231" s="33">
        <f t="shared" si="30"/>
        <v>0</v>
      </c>
    </row>
    <row r="232" spans="1:15" ht="15" customHeight="1" x14ac:dyDescent="0.4">
      <c r="A232" s="3" t="s">
        <v>178</v>
      </c>
      <c r="B232" s="46"/>
      <c r="C232" s="46"/>
      <c r="D232" s="46"/>
      <c r="E232" s="46"/>
      <c r="F232" s="46"/>
      <c r="G232" s="46"/>
      <c r="H232" s="46"/>
      <c r="I232" s="46"/>
      <c r="J232" s="46"/>
      <c r="K232" s="46"/>
      <c r="L232" s="46"/>
      <c r="M232" s="46"/>
      <c r="N232" s="46"/>
      <c r="O232" s="33">
        <f t="shared" si="30"/>
        <v>0</v>
      </c>
    </row>
    <row r="233" spans="1:15" ht="15" customHeight="1" x14ac:dyDescent="0.4">
      <c r="A233" s="3" t="s">
        <v>179</v>
      </c>
      <c r="B233" s="46"/>
      <c r="C233" s="46"/>
      <c r="D233" s="46"/>
      <c r="E233" s="46"/>
      <c r="F233" s="46"/>
      <c r="G233" s="46"/>
      <c r="H233" s="46"/>
      <c r="I233" s="46"/>
      <c r="J233" s="46"/>
      <c r="K233" s="46"/>
      <c r="L233" s="51"/>
      <c r="M233" s="46"/>
      <c r="N233" s="46"/>
      <c r="O233" s="33">
        <f t="shared" si="30"/>
        <v>0</v>
      </c>
    </row>
    <row r="234" spans="1:15" ht="15" customHeight="1" x14ac:dyDescent="0.4">
      <c r="A234" s="3" t="s">
        <v>180</v>
      </c>
      <c r="B234" s="46"/>
      <c r="C234" s="46"/>
      <c r="D234" s="46"/>
      <c r="E234" s="46"/>
      <c r="F234" s="46"/>
      <c r="G234" s="46"/>
      <c r="H234" s="46"/>
      <c r="I234" s="46"/>
      <c r="J234" s="46"/>
      <c r="K234" s="46"/>
      <c r="L234" s="46"/>
      <c r="M234" s="46"/>
      <c r="N234" s="46"/>
      <c r="O234" s="33">
        <f t="shared" si="30"/>
        <v>0</v>
      </c>
    </row>
    <row r="235" spans="1:15" x14ac:dyDescent="0.4">
      <c r="A235" s="3" t="s">
        <v>181</v>
      </c>
      <c r="B235" s="46"/>
      <c r="C235" s="46"/>
      <c r="D235" s="46"/>
      <c r="E235" s="46"/>
      <c r="F235" s="46"/>
      <c r="G235" s="46"/>
      <c r="H235" s="46"/>
      <c r="I235" s="46"/>
      <c r="J235" s="46"/>
      <c r="K235" s="46"/>
      <c r="L235" s="46"/>
      <c r="M235" s="46"/>
      <c r="N235" s="46"/>
      <c r="O235" s="33">
        <f t="shared" si="30"/>
        <v>0</v>
      </c>
    </row>
    <row r="236" spans="1:15" x14ac:dyDescent="0.4">
      <c r="A236" s="3" t="s">
        <v>182</v>
      </c>
      <c r="B236" s="46"/>
      <c r="C236" s="46"/>
      <c r="D236" s="46"/>
      <c r="E236" s="46"/>
      <c r="F236" s="46"/>
      <c r="G236" s="46"/>
      <c r="H236" s="46"/>
      <c r="I236" s="46"/>
      <c r="J236" s="46"/>
      <c r="K236" s="46"/>
      <c r="L236" s="46"/>
      <c r="M236" s="46"/>
      <c r="N236" s="46"/>
      <c r="O236" s="33">
        <f t="shared" si="30"/>
        <v>0</v>
      </c>
    </row>
    <row r="237" spans="1:15" ht="15" customHeight="1" x14ac:dyDescent="0.4">
      <c r="A237" s="3" t="s">
        <v>183</v>
      </c>
      <c r="B237" s="46"/>
      <c r="C237" s="46"/>
      <c r="D237" s="46"/>
      <c r="E237" s="46"/>
      <c r="F237" s="46"/>
      <c r="G237" s="46"/>
      <c r="H237" s="46"/>
      <c r="I237" s="46"/>
      <c r="J237" s="46"/>
      <c r="K237" s="46"/>
      <c r="L237" s="46"/>
      <c r="M237" s="46"/>
      <c r="N237" s="46"/>
      <c r="O237" s="33">
        <f t="shared" si="30"/>
        <v>0</v>
      </c>
    </row>
    <row r="238" spans="1:15" ht="15" customHeight="1" x14ac:dyDescent="0.4">
      <c r="A238" s="3" t="s">
        <v>184</v>
      </c>
      <c r="B238" s="46"/>
      <c r="C238" s="46"/>
      <c r="D238" s="46"/>
      <c r="E238" s="46"/>
      <c r="F238" s="46"/>
      <c r="G238" s="46"/>
      <c r="H238" s="46"/>
      <c r="I238" s="46"/>
      <c r="J238" s="46"/>
      <c r="K238" s="46"/>
      <c r="L238" s="46"/>
      <c r="M238" s="46"/>
      <c r="N238" s="46"/>
      <c r="O238" s="33">
        <f t="shared" si="30"/>
        <v>0</v>
      </c>
    </row>
    <row r="239" spans="1:15" ht="15" customHeight="1" thickBot="1" x14ac:dyDescent="0.45">
      <c r="A239" s="21" t="s">
        <v>55</v>
      </c>
      <c r="B239" s="21"/>
      <c r="C239" s="22" t="str">
        <f t="shared" ref="C239:N239" si="31">IF(SUM(C230:C238)=C34+C36,"OK","ERRO!")</f>
        <v>ERRO!</v>
      </c>
      <c r="D239" s="22" t="str">
        <f t="shared" si="31"/>
        <v>OK</v>
      </c>
      <c r="E239" s="22" t="str">
        <f t="shared" si="31"/>
        <v>OK</v>
      </c>
      <c r="F239" s="22" t="str">
        <f t="shared" si="31"/>
        <v>OK</v>
      </c>
      <c r="G239" s="22" t="str">
        <f t="shared" si="31"/>
        <v>OK</v>
      </c>
      <c r="H239" s="22" t="str">
        <f t="shared" si="31"/>
        <v>OK</v>
      </c>
      <c r="I239" s="22" t="str">
        <f t="shared" si="31"/>
        <v>OK</v>
      </c>
      <c r="J239" s="22" t="str">
        <f t="shared" si="31"/>
        <v>OK</v>
      </c>
      <c r="K239" s="22" t="str">
        <f t="shared" si="31"/>
        <v>OK</v>
      </c>
      <c r="L239" s="22" t="str">
        <f t="shared" si="31"/>
        <v>OK</v>
      </c>
      <c r="M239" s="22" t="str">
        <f t="shared" si="31"/>
        <v>OK</v>
      </c>
      <c r="N239" s="22" t="str">
        <f t="shared" si="31"/>
        <v>OK</v>
      </c>
      <c r="O239" s="65">
        <f>SUM(O230:O238)</f>
        <v>0</v>
      </c>
    </row>
    <row r="240" spans="1:15" ht="15" customHeight="1" thickBot="1" x14ac:dyDescent="0.45">
      <c r="A240" s="87" t="s">
        <v>185</v>
      </c>
      <c r="B240" s="87"/>
      <c r="C240" s="87"/>
      <c r="D240" s="87"/>
      <c r="E240" s="87"/>
      <c r="F240" s="87"/>
      <c r="G240" s="87"/>
      <c r="H240" s="87"/>
      <c r="I240" s="87"/>
      <c r="J240" s="87"/>
      <c r="K240" s="87"/>
      <c r="L240" s="87"/>
      <c r="M240" s="87"/>
      <c r="N240" s="87"/>
      <c r="O240" s="87"/>
    </row>
    <row r="241" spans="1:35" ht="15" customHeight="1" x14ac:dyDescent="0.4">
      <c r="C241" s="94" t="s">
        <v>68</v>
      </c>
      <c r="D241" s="94"/>
      <c r="E241" s="94"/>
      <c r="F241" s="94"/>
      <c r="G241" s="94"/>
      <c r="H241" s="94"/>
      <c r="I241" s="94"/>
      <c r="J241" s="94"/>
      <c r="K241" s="94"/>
      <c r="L241" s="94"/>
      <c r="M241" s="94"/>
      <c r="N241" s="94"/>
      <c r="O241" s="94"/>
    </row>
    <row r="242" spans="1:35" ht="15" hidden="1" customHeight="1" x14ac:dyDescent="0.4">
      <c r="A242" s="20"/>
      <c r="B242" s="39">
        <v>2024</v>
      </c>
      <c r="C242" s="29" t="s">
        <v>11</v>
      </c>
      <c r="D242" s="29" t="s">
        <v>12</v>
      </c>
      <c r="E242" s="29" t="s">
        <v>13</v>
      </c>
      <c r="F242" s="29" t="s">
        <v>14</v>
      </c>
      <c r="G242" s="29" t="s">
        <v>15</v>
      </c>
      <c r="H242" s="29" t="s">
        <v>16</v>
      </c>
      <c r="I242" s="29" t="s">
        <v>17</v>
      </c>
      <c r="J242" s="29" t="s">
        <v>18</v>
      </c>
      <c r="K242" s="29" t="s">
        <v>19</v>
      </c>
      <c r="L242" s="29" t="s">
        <v>20</v>
      </c>
      <c r="M242" s="29" t="s">
        <v>21</v>
      </c>
      <c r="N242" s="29" t="s">
        <v>22</v>
      </c>
      <c r="O242" s="36" t="s">
        <v>23</v>
      </c>
    </row>
    <row r="243" spans="1:35" ht="15" customHeight="1" x14ac:dyDescent="0.4">
      <c r="A243" s="13" t="s">
        <v>186</v>
      </c>
      <c r="B243" s="46"/>
      <c r="C243" s="46"/>
      <c r="D243" s="46"/>
      <c r="E243" s="46"/>
      <c r="F243" s="46"/>
      <c r="G243" s="46"/>
      <c r="H243" s="46"/>
      <c r="I243" s="51"/>
      <c r="J243" s="46"/>
      <c r="K243" s="46"/>
      <c r="L243" s="51"/>
      <c r="M243" s="46"/>
      <c r="N243" s="52"/>
      <c r="O243" s="33">
        <f>SUM(B243:N243)</f>
        <v>0</v>
      </c>
    </row>
    <row r="244" spans="1:35" ht="15" customHeight="1" x14ac:dyDescent="0.4">
      <c r="A244" s="13" t="s">
        <v>187</v>
      </c>
      <c r="B244" s="46"/>
      <c r="C244" s="46"/>
      <c r="D244" s="46"/>
      <c r="E244" s="46"/>
      <c r="F244" s="46"/>
      <c r="G244" s="46"/>
      <c r="H244" s="46"/>
      <c r="I244" s="51"/>
      <c r="J244" s="46"/>
      <c r="K244" s="46"/>
      <c r="L244" s="51"/>
      <c r="M244" s="46"/>
      <c r="N244" s="52"/>
      <c r="O244" s="33">
        <f>SUM(B244:N244)</f>
        <v>0</v>
      </c>
    </row>
    <row r="245" spans="1:35" ht="15" customHeight="1" x14ac:dyDescent="0.4">
      <c r="A245" s="81" t="s">
        <v>188</v>
      </c>
      <c r="B245" s="46"/>
      <c r="C245" s="46"/>
      <c r="D245" s="46"/>
      <c r="E245" s="46"/>
      <c r="F245" s="46"/>
      <c r="G245" s="46"/>
      <c r="H245" s="46"/>
      <c r="I245" s="46"/>
      <c r="J245" s="46"/>
      <c r="K245" s="46"/>
      <c r="L245" s="46"/>
      <c r="M245" s="46"/>
      <c r="N245" s="46"/>
      <c r="O245" s="33">
        <f>SUM(B245:N245)</f>
        <v>0</v>
      </c>
    </row>
    <row r="246" spans="1:35" ht="15" customHeight="1" thickBot="1" x14ac:dyDescent="0.45">
      <c r="A246" s="21" t="s">
        <v>55</v>
      </c>
      <c r="B246" s="21"/>
      <c r="C246" s="22" t="str">
        <f t="shared" ref="C246:N246" si="32">IF(SUM(C243:C245)=C34+C36,"OK","ERRO!")</f>
        <v>ERRO!</v>
      </c>
      <c r="D246" s="22" t="str">
        <f t="shared" si="32"/>
        <v>OK</v>
      </c>
      <c r="E246" s="22" t="str">
        <f t="shared" si="32"/>
        <v>OK</v>
      </c>
      <c r="F246" s="22" t="str">
        <f t="shared" si="32"/>
        <v>OK</v>
      </c>
      <c r="G246" s="22" t="str">
        <f t="shared" si="32"/>
        <v>OK</v>
      </c>
      <c r="H246" s="22" t="str">
        <f t="shared" si="32"/>
        <v>OK</v>
      </c>
      <c r="I246" s="22" t="str">
        <f t="shared" si="32"/>
        <v>OK</v>
      </c>
      <c r="J246" s="22" t="str">
        <f t="shared" si="32"/>
        <v>OK</v>
      </c>
      <c r="K246" s="22" t="str">
        <f t="shared" si="32"/>
        <v>OK</v>
      </c>
      <c r="L246" s="22" t="str">
        <f t="shared" si="32"/>
        <v>OK</v>
      </c>
      <c r="M246" s="22" t="str">
        <f t="shared" si="32"/>
        <v>OK</v>
      </c>
      <c r="N246" s="22" t="str">
        <f t="shared" si="32"/>
        <v>OK</v>
      </c>
      <c r="O246" s="65">
        <f>SUM(O243:O245)</f>
        <v>0</v>
      </c>
      <c r="AH246" s="58"/>
      <c r="AI246" s="58"/>
    </row>
    <row r="247" spans="1:35" ht="15" customHeight="1" thickBot="1" x14ac:dyDescent="0.45">
      <c r="A247" s="95" t="s">
        <v>189</v>
      </c>
      <c r="B247" s="95"/>
      <c r="C247" s="95"/>
      <c r="D247" s="95"/>
      <c r="E247" s="95"/>
      <c r="F247" s="95"/>
      <c r="G247" s="95"/>
      <c r="H247" s="95"/>
      <c r="I247" s="95"/>
      <c r="J247" s="95"/>
      <c r="K247" s="95"/>
      <c r="L247" s="95"/>
      <c r="M247" s="95"/>
      <c r="N247" s="95"/>
      <c r="O247" s="95"/>
      <c r="AH247" s="58"/>
      <c r="AI247" s="58"/>
    </row>
    <row r="248" spans="1:35" ht="15" customHeight="1" x14ac:dyDescent="0.4">
      <c r="C248" s="94" t="s">
        <v>68</v>
      </c>
      <c r="D248" s="94"/>
      <c r="E248" s="94"/>
      <c r="F248" s="94"/>
      <c r="G248" s="94"/>
      <c r="H248" s="94"/>
      <c r="I248" s="94"/>
      <c r="J248" s="94"/>
      <c r="K248" s="94"/>
      <c r="L248" s="94"/>
      <c r="M248" s="94"/>
      <c r="N248" s="94"/>
      <c r="O248" s="94"/>
    </row>
    <row r="249" spans="1:35" ht="15" customHeight="1" x14ac:dyDescent="0.4">
      <c r="B249" s="39">
        <v>2024</v>
      </c>
      <c r="C249" s="29" t="s">
        <v>11</v>
      </c>
      <c r="D249" s="29" t="s">
        <v>12</v>
      </c>
      <c r="E249" s="29" t="s">
        <v>13</v>
      </c>
      <c r="F249" s="29" t="s">
        <v>14</v>
      </c>
      <c r="G249" s="29" t="s">
        <v>15</v>
      </c>
      <c r="H249" s="29" t="s">
        <v>16</v>
      </c>
      <c r="I249" s="29" t="s">
        <v>17</v>
      </c>
      <c r="J249" s="29" t="s">
        <v>18</v>
      </c>
      <c r="K249" s="29" t="s">
        <v>19</v>
      </c>
      <c r="L249" s="29" t="s">
        <v>20</v>
      </c>
      <c r="M249" s="29" t="s">
        <v>21</v>
      </c>
      <c r="N249" s="29" t="s">
        <v>22</v>
      </c>
      <c r="O249" s="36" t="s">
        <v>23</v>
      </c>
    </row>
    <row r="250" spans="1:35" ht="15" customHeight="1" x14ac:dyDescent="0.4">
      <c r="A250" s="64" t="s">
        <v>190</v>
      </c>
      <c r="B250" s="46"/>
      <c r="C250" s="46"/>
      <c r="D250" s="46"/>
      <c r="E250" s="46"/>
      <c r="F250" s="46"/>
      <c r="G250" s="46"/>
      <c r="H250" s="46"/>
      <c r="I250" s="46"/>
      <c r="J250" s="46"/>
      <c r="K250" s="46"/>
      <c r="L250" s="46"/>
      <c r="M250" s="46"/>
      <c r="N250" s="52"/>
      <c r="O250" s="33">
        <f>SUM(B250:N250)</f>
        <v>0</v>
      </c>
    </row>
    <row r="251" spans="1:35" ht="15" customHeight="1" x14ac:dyDescent="0.4">
      <c r="A251" s="64" t="s">
        <v>191</v>
      </c>
      <c r="B251" s="46"/>
      <c r="C251" s="46"/>
      <c r="D251" s="46"/>
      <c r="E251" s="46"/>
      <c r="F251" s="46"/>
      <c r="G251" s="46"/>
      <c r="H251" s="46"/>
      <c r="I251" s="46"/>
      <c r="J251" s="46"/>
      <c r="K251" s="46"/>
      <c r="L251" s="51"/>
      <c r="M251" s="46"/>
      <c r="N251" s="52"/>
      <c r="O251" s="33">
        <f>SUM(B251:N251)</f>
        <v>0</v>
      </c>
    </row>
    <row r="252" spans="1:35" ht="15" customHeight="1" x14ac:dyDescent="0.4">
      <c r="A252" s="64" t="s">
        <v>192</v>
      </c>
      <c r="B252" s="46"/>
      <c r="C252" s="46"/>
      <c r="D252" s="46"/>
      <c r="E252" s="46"/>
      <c r="F252" s="46"/>
      <c r="G252" s="46"/>
      <c r="H252" s="46"/>
      <c r="I252" s="46"/>
      <c r="J252" s="46"/>
      <c r="K252" s="46"/>
      <c r="L252" s="46"/>
      <c r="M252" s="46"/>
      <c r="N252" s="46"/>
      <c r="O252" s="33">
        <f>SUM(B252:N252)</f>
        <v>0</v>
      </c>
    </row>
    <row r="253" spans="1:35" ht="15" customHeight="1" x14ac:dyDescent="0.4">
      <c r="A253" s="64" t="s">
        <v>193</v>
      </c>
      <c r="B253" s="46"/>
      <c r="C253" s="46"/>
      <c r="D253" s="46"/>
      <c r="E253" s="46"/>
      <c r="F253" s="46"/>
      <c r="G253" s="46"/>
      <c r="H253" s="46"/>
      <c r="I253" s="46"/>
      <c r="J253" s="46"/>
      <c r="K253" s="46"/>
      <c r="L253" s="46"/>
      <c r="M253" s="46"/>
      <c r="N253" s="46"/>
      <c r="O253" s="33">
        <f>SUM(B253:N253)</f>
        <v>0</v>
      </c>
    </row>
    <row r="254" spans="1:35" ht="15" customHeight="1" thickBot="1" x14ac:dyDescent="0.45">
      <c r="A254" s="21" t="s">
        <v>55</v>
      </c>
      <c r="B254" s="21"/>
      <c r="C254" s="22" t="str">
        <f t="shared" ref="C254:N254" si="33">IF(SUM(C250:C253)=C34+C36,"OK","ERRO!")</f>
        <v>ERRO!</v>
      </c>
      <c r="D254" s="22" t="str">
        <f t="shared" si="33"/>
        <v>OK</v>
      </c>
      <c r="E254" s="22" t="str">
        <f t="shared" si="33"/>
        <v>OK</v>
      </c>
      <c r="F254" s="22" t="str">
        <f t="shared" si="33"/>
        <v>OK</v>
      </c>
      <c r="G254" s="22" t="str">
        <f t="shared" si="33"/>
        <v>OK</v>
      </c>
      <c r="H254" s="22" t="str">
        <f t="shared" si="33"/>
        <v>OK</v>
      </c>
      <c r="I254" s="22" t="str">
        <f t="shared" si="33"/>
        <v>OK</v>
      </c>
      <c r="J254" s="22" t="str">
        <f t="shared" si="33"/>
        <v>OK</v>
      </c>
      <c r="K254" s="22" t="str">
        <f t="shared" si="33"/>
        <v>OK</v>
      </c>
      <c r="L254" s="22" t="str">
        <f t="shared" si="33"/>
        <v>OK</v>
      </c>
      <c r="M254" s="22" t="str">
        <f t="shared" si="33"/>
        <v>OK</v>
      </c>
      <c r="N254" s="22" t="str">
        <f t="shared" si="33"/>
        <v>OK</v>
      </c>
      <c r="O254" s="65">
        <f>SUM(O250:O253)</f>
        <v>0</v>
      </c>
    </row>
    <row r="255" spans="1:35" ht="15" hidden="1" customHeight="1" x14ac:dyDescent="0.4">
      <c r="A255" s="4"/>
      <c r="AH255" s="58"/>
      <c r="AI255" s="58"/>
    </row>
    <row r="256" spans="1:35" ht="15" customHeight="1" thickBot="1" x14ac:dyDescent="0.45">
      <c r="A256" s="95" t="s">
        <v>193</v>
      </c>
      <c r="B256" s="95"/>
      <c r="C256" s="95"/>
      <c r="D256" s="95"/>
      <c r="E256" s="95"/>
      <c r="F256" s="95"/>
      <c r="G256" s="95"/>
      <c r="H256" s="95"/>
      <c r="I256" s="95"/>
      <c r="J256" s="95"/>
      <c r="K256" s="95"/>
      <c r="L256" s="95"/>
      <c r="M256" s="95"/>
      <c r="N256" s="95"/>
      <c r="O256" s="95"/>
    </row>
    <row r="257" spans="1:35" ht="15" customHeight="1" x14ac:dyDescent="0.4">
      <c r="C257" s="94" t="s">
        <v>68</v>
      </c>
      <c r="D257" s="94"/>
      <c r="E257" s="94"/>
      <c r="F257" s="94"/>
      <c r="G257" s="94"/>
      <c r="H257" s="94"/>
      <c r="I257" s="94"/>
      <c r="J257" s="94"/>
      <c r="K257" s="94"/>
      <c r="L257" s="94"/>
      <c r="M257" s="94"/>
      <c r="N257" s="94"/>
      <c r="O257" s="94"/>
    </row>
    <row r="258" spans="1:35" ht="15" customHeight="1" x14ac:dyDescent="0.4">
      <c r="B258" s="39">
        <v>2024</v>
      </c>
      <c r="C258" s="29" t="s">
        <v>11</v>
      </c>
      <c r="D258" s="29" t="s">
        <v>12</v>
      </c>
      <c r="E258" s="29" t="s">
        <v>13</v>
      </c>
      <c r="F258" s="29" t="s">
        <v>14</v>
      </c>
      <c r="G258" s="29" t="s">
        <v>15</v>
      </c>
      <c r="H258" s="29" t="s">
        <v>16</v>
      </c>
      <c r="I258" s="29" t="s">
        <v>17</v>
      </c>
      <c r="J258" s="29" t="s">
        <v>18</v>
      </c>
      <c r="K258" s="29" t="s">
        <v>19</v>
      </c>
      <c r="L258" s="29" t="s">
        <v>20</v>
      </c>
      <c r="M258" s="29" t="s">
        <v>21</v>
      </c>
      <c r="N258" s="29" t="s">
        <v>22</v>
      </c>
      <c r="O258" s="36" t="s">
        <v>23</v>
      </c>
    </row>
    <row r="259" spans="1:35" ht="15" customHeight="1" x14ac:dyDescent="0.4">
      <c r="A259" s="64" t="s">
        <v>194</v>
      </c>
      <c r="B259" s="46"/>
      <c r="C259" s="46"/>
      <c r="D259" s="46"/>
      <c r="E259" s="46"/>
      <c r="F259" s="46"/>
      <c r="G259" s="46"/>
      <c r="H259" s="46"/>
      <c r="I259" s="46"/>
      <c r="J259" s="46"/>
      <c r="K259" s="46"/>
      <c r="L259" s="46"/>
      <c r="M259" s="46"/>
      <c r="N259" s="52"/>
      <c r="O259" s="33">
        <f>SUM(B259:N259)</f>
        <v>0</v>
      </c>
    </row>
    <row r="260" spans="1:35" ht="15" customHeight="1" x14ac:dyDescent="0.4">
      <c r="A260" s="64" t="s">
        <v>195</v>
      </c>
      <c r="B260" s="46"/>
      <c r="C260" s="46"/>
      <c r="D260" s="46"/>
      <c r="E260" s="46"/>
      <c r="F260" s="46"/>
      <c r="G260" s="46"/>
      <c r="H260" s="46"/>
      <c r="I260" s="46"/>
      <c r="J260" s="46"/>
      <c r="K260" s="46"/>
      <c r="L260" s="51"/>
      <c r="M260" s="46"/>
      <c r="N260" s="52"/>
      <c r="O260" s="33">
        <f>SUM(B260:N260)</f>
        <v>0</v>
      </c>
    </row>
    <row r="261" spans="1:35" ht="15" customHeight="1" x14ac:dyDescent="0.4">
      <c r="A261" s="64" t="s">
        <v>196</v>
      </c>
      <c r="B261" s="46"/>
      <c r="C261" s="46"/>
      <c r="D261" s="46"/>
      <c r="E261" s="46"/>
      <c r="F261" s="46"/>
      <c r="G261" s="46"/>
      <c r="H261" s="46"/>
      <c r="I261" s="46"/>
      <c r="J261" s="46"/>
      <c r="K261" s="46"/>
      <c r="L261" s="46"/>
      <c r="M261" s="46"/>
      <c r="N261" s="46"/>
      <c r="O261" s="33">
        <f>SUM(B261:N261)</f>
        <v>0</v>
      </c>
    </row>
    <row r="262" spans="1:35" ht="15" customHeight="1" x14ac:dyDescent="0.4">
      <c r="A262" s="64" t="s">
        <v>197</v>
      </c>
      <c r="B262" s="46"/>
      <c r="C262" s="46"/>
      <c r="D262" s="46"/>
      <c r="E262" s="46"/>
      <c r="F262" s="46"/>
      <c r="G262" s="46"/>
      <c r="H262" s="46"/>
      <c r="I262" s="46"/>
      <c r="J262" s="46"/>
      <c r="K262" s="46"/>
      <c r="L262" s="46"/>
      <c r="M262" s="46"/>
      <c r="N262" s="46"/>
      <c r="O262" s="33">
        <f>SUM(B262:N262)</f>
        <v>0</v>
      </c>
    </row>
    <row r="263" spans="1:35" ht="15" customHeight="1" thickBot="1" x14ac:dyDescent="0.45">
      <c r="A263" s="127"/>
      <c r="B263" s="127"/>
      <c r="C263" s="127"/>
      <c r="D263" s="127"/>
      <c r="E263" s="127"/>
      <c r="F263" s="127"/>
      <c r="G263" s="127"/>
      <c r="H263" s="127"/>
      <c r="I263" s="127"/>
      <c r="J263" s="127"/>
      <c r="K263" s="127"/>
      <c r="L263" s="127"/>
      <c r="M263" s="127"/>
      <c r="N263" s="127"/>
      <c r="O263" s="127"/>
    </row>
    <row r="264" spans="1:35" ht="15" customHeight="1" thickBot="1" x14ac:dyDescent="0.45">
      <c r="A264" s="128" t="s">
        <v>198</v>
      </c>
      <c r="B264" s="128"/>
      <c r="C264" s="128"/>
      <c r="D264" s="128"/>
      <c r="E264" s="128"/>
      <c r="F264" s="128"/>
      <c r="G264" s="128"/>
      <c r="H264" s="128"/>
      <c r="I264" s="128"/>
      <c r="J264" s="128"/>
      <c r="K264" s="128"/>
      <c r="L264" s="128"/>
      <c r="M264" s="128"/>
      <c r="N264" s="128"/>
      <c r="O264" s="128"/>
    </row>
    <row r="265" spans="1:35" ht="15" customHeight="1" thickBot="1" x14ac:dyDescent="0.45">
      <c r="A265" s="126" t="s">
        <v>199</v>
      </c>
      <c r="B265" s="126"/>
      <c r="C265" s="126"/>
      <c r="D265" s="126"/>
      <c r="E265" s="126"/>
      <c r="F265" s="126"/>
      <c r="G265" s="126"/>
      <c r="H265" s="126"/>
      <c r="I265" s="126"/>
      <c r="J265" s="126"/>
      <c r="K265" s="126"/>
      <c r="L265" s="126"/>
      <c r="M265" s="126"/>
      <c r="N265" s="126"/>
      <c r="O265" s="126"/>
    </row>
    <row r="266" spans="1:35" ht="15" customHeight="1" x14ac:dyDescent="0.4">
      <c r="C266" s="94" t="s">
        <v>200</v>
      </c>
      <c r="D266" s="94"/>
      <c r="E266" s="94"/>
      <c r="F266" s="94"/>
      <c r="G266" s="94"/>
      <c r="H266" s="94"/>
      <c r="I266" s="94"/>
      <c r="J266" s="94"/>
      <c r="K266" s="94"/>
      <c r="L266" s="94"/>
      <c r="M266" s="94"/>
      <c r="N266" s="94"/>
      <c r="O266" s="94"/>
    </row>
    <row r="267" spans="1:35" ht="15" customHeight="1" x14ac:dyDescent="0.4">
      <c r="C267" s="29" t="s">
        <v>11</v>
      </c>
      <c r="D267" s="29" t="s">
        <v>12</v>
      </c>
      <c r="E267" s="29" t="s">
        <v>13</v>
      </c>
      <c r="F267" s="29" t="s">
        <v>14</v>
      </c>
      <c r="G267" s="29" t="s">
        <v>15</v>
      </c>
      <c r="H267" s="29" t="s">
        <v>16</v>
      </c>
      <c r="I267" s="29" t="s">
        <v>17</v>
      </c>
      <c r="J267" s="29" t="s">
        <v>18</v>
      </c>
      <c r="K267" s="29" t="s">
        <v>19</v>
      </c>
      <c r="L267" s="29" t="s">
        <v>20</v>
      </c>
      <c r="M267" s="29" t="s">
        <v>21</v>
      </c>
      <c r="N267" s="29" t="s">
        <v>22</v>
      </c>
      <c r="O267" s="36" t="s">
        <v>23</v>
      </c>
      <c r="P267" s="33"/>
    </row>
    <row r="268" spans="1:35" ht="15" customHeight="1" x14ac:dyDescent="0.4">
      <c r="A268" s="64" t="s">
        <v>201</v>
      </c>
      <c r="C268" s="46"/>
      <c r="D268" s="46"/>
      <c r="E268" s="46"/>
      <c r="F268" s="46"/>
      <c r="G268" s="46"/>
      <c r="H268" s="46"/>
      <c r="I268" s="52"/>
      <c r="J268" s="52"/>
      <c r="K268" s="52"/>
      <c r="L268" s="52"/>
      <c r="M268" s="46"/>
      <c r="N268" s="52"/>
      <c r="O268" s="33">
        <f t="shared" ref="O268:O273" si="34">SUM(C268:N268)</f>
        <v>0</v>
      </c>
      <c r="AH268" s="58"/>
      <c r="AI268" s="58"/>
    </row>
    <row r="269" spans="1:35" ht="15" customHeight="1" x14ac:dyDescent="0.4">
      <c r="A269" s="64" t="s">
        <v>202</v>
      </c>
      <c r="C269" s="46"/>
      <c r="D269" s="46"/>
      <c r="E269" s="46"/>
      <c r="F269" s="46"/>
      <c r="G269" s="46"/>
      <c r="H269" s="46"/>
      <c r="I269" s="52"/>
      <c r="J269" s="52"/>
      <c r="K269" s="56"/>
      <c r="L269" s="56"/>
      <c r="M269" s="56"/>
      <c r="N269" s="56"/>
      <c r="O269" s="33">
        <f t="shared" si="34"/>
        <v>0</v>
      </c>
    </row>
    <row r="270" spans="1:35" x14ac:dyDescent="0.4">
      <c r="A270" s="64" t="s">
        <v>203</v>
      </c>
      <c r="C270" s="46"/>
      <c r="D270" s="46"/>
      <c r="E270" s="46"/>
      <c r="F270" s="46"/>
      <c r="G270" s="46"/>
      <c r="H270" s="46"/>
      <c r="I270" s="52"/>
      <c r="J270" s="52"/>
      <c r="K270" s="56"/>
      <c r="L270" s="56"/>
      <c r="M270" s="46"/>
      <c r="N270" s="56"/>
      <c r="O270" s="33">
        <f t="shared" si="34"/>
        <v>0</v>
      </c>
    </row>
    <row r="271" spans="1:35" x14ac:dyDescent="0.4">
      <c r="A271" s="64" t="s">
        <v>65</v>
      </c>
      <c r="C271" s="46"/>
      <c r="D271" s="46"/>
      <c r="E271" s="46"/>
      <c r="F271" s="46"/>
      <c r="G271" s="46"/>
      <c r="H271" s="46"/>
      <c r="I271" s="52"/>
      <c r="J271" s="52"/>
      <c r="K271" s="56"/>
      <c r="L271" s="56"/>
      <c r="M271" s="46"/>
      <c r="N271" s="56"/>
      <c r="O271" s="33">
        <f t="shared" si="34"/>
        <v>0</v>
      </c>
    </row>
    <row r="272" spans="1:35" ht="12.75" customHeight="1" x14ac:dyDescent="0.4">
      <c r="A272" s="64" t="s">
        <v>204</v>
      </c>
      <c r="C272" s="46"/>
      <c r="D272" s="46"/>
      <c r="E272" s="46"/>
      <c r="F272" s="46"/>
      <c r="G272" s="46"/>
      <c r="H272" s="46"/>
      <c r="I272" s="52"/>
      <c r="J272" s="52"/>
      <c r="K272" s="56"/>
      <c r="L272" s="56"/>
      <c r="M272" s="46"/>
      <c r="N272" s="56"/>
      <c r="O272" s="33">
        <f t="shared" si="34"/>
        <v>0</v>
      </c>
    </row>
    <row r="273" spans="1:15" ht="12.75" customHeight="1" x14ac:dyDescent="0.4">
      <c r="A273" s="3" t="s">
        <v>205</v>
      </c>
      <c r="C273" s="7">
        <f t="shared" ref="C273:N273" si="35">C27</f>
        <v>2</v>
      </c>
      <c r="D273" s="7">
        <f t="shared" si="35"/>
        <v>0</v>
      </c>
      <c r="E273" s="7">
        <f t="shared" si="35"/>
        <v>0</v>
      </c>
      <c r="F273" s="7">
        <f t="shared" si="35"/>
        <v>0</v>
      </c>
      <c r="G273" s="7">
        <f t="shared" si="35"/>
        <v>0</v>
      </c>
      <c r="H273" s="7">
        <f t="shared" si="35"/>
        <v>0</v>
      </c>
      <c r="I273" s="7">
        <f t="shared" si="35"/>
        <v>0</v>
      </c>
      <c r="J273" s="7">
        <f t="shared" si="35"/>
        <v>0</v>
      </c>
      <c r="K273" s="7">
        <f t="shared" si="35"/>
        <v>0</v>
      </c>
      <c r="L273" s="7">
        <f t="shared" si="35"/>
        <v>0</v>
      </c>
      <c r="M273" s="7">
        <f t="shared" si="35"/>
        <v>0</v>
      </c>
      <c r="N273" s="7">
        <f t="shared" si="35"/>
        <v>0</v>
      </c>
      <c r="O273" s="33">
        <f t="shared" si="34"/>
        <v>2</v>
      </c>
    </row>
    <row r="274" spans="1:15" ht="12.75" customHeight="1" thickBot="1" x14ac:dyDescent="0.45">
      <c r="A274" s="21" t="s">
        <v>55</v>
      </c>
      <c r="B274" s="21"/>
      <c r="C274" s="22" t="str">
        <f t="shared" ref="C274:N274" si="36">IF(SUM(C268:C273)=SUM(C25+C27),"OK","ERRO!")</f>
        <v>ERRO!</v>
      </c>
      <c r="D274" s="22" t="str">
        <f t="shared" si="36"/>
        <v>OK</v>
      </c>
      <c r="E274" s="22" t="str">
        <f t="shared" si="36"/>
        <v>OK</v>
      </c>
      <c r="F274" s="22" t="str">
        <f t="shared" si="36"/>
        <v>OK</v>
      </c>
      <c r="G274" s="22" t="str">
        <f t="shared" si="36"/>
        <v>OK</v>
      </c>
      <c r="H274" s="22" t="str">
        <f t="shared" si="36"/>
        <v>OK</v>
      </c>
      <c r="I274" s="22" t="str">
        <f t="shared" si="36"/>
        <v>OK</v>
      </c>
      <c r="J274" s="22" t="str">
        <f t="shared" si="36"/>
        <v>OK</v>
      </c>
      <c r="K274" s="22" t="str">
        <f t="shared" si="36"/>
        <v>OK</v>
      </c>
      <c r="L274" s="22" t="str">
        <f t="shared" si="36"/>
        <v>OK</v>
      </c>
      <c r="M274" s="22" t="str">
        <f t="shared" si="36"/>
        <v>OK</v>
      </c>
      <c r="N274" s="22" t="str">
        <f t="shared" si="36"/>
        <v>OK</v>
      </c>
      <c r="O274" s="35">
        <f>SUM(O268:O273)</f>
        <v>2</v>
      </c>
    </row>
    <row r="275" spans="1:15" ht="12.75" customHeight="1" thickBot="1" x14ac:dyDescent="0.45">
      <c r="A275" s="126" t="s">
        <v>203</v>
      </c>
      <c r="B275" s="126"/>
      <c r="C275" s="126"/>
      <c r="D275" s="126"/>
      <c r="E275" s="126"/>
      <c r="F275" s="126"/>
      <c r="G275" s="126"/>
      <c r="H275" s="126"/>
      <c r="I275" s="126"/>
      <c r="J275" s="126"/>
      <c r="K275" s="126"/>
      <c r="L275" s="126"/>
      <c r="M275" s="126"/>
      <c r="N275" s="126"/>
      <c r="O275" s="126"/>
    </row>
    <row r="276" spans="1:15" ht="12.75" customHeight="1" x14ac:dyDescent="0.4">
      <c r="A276" s="32"/>
      <c r="B276" s="32"/>
      <c r="C276" s="94" t="s">
        <v>200</v>
      </c>
      <c r="D276" s="94"/>
      <c r="E276" s="94"/>
      <c r="F276" s="94"/>
      <c r="G276" s="94"/>
      <c r="H276" s="94"/>
      <c r="I276" s="94"/>
      <c r="J276" s="94"/>
      <c r="K276" s="94"/>
      <c r="L276" s="94"/>
      <c r="M276" s="94"/>
      <c r="N276" s="94"/>
      <c r="O276" s="94"/>
    </row>
    <row r="277" spans="1:15" ht="12.75" customHeight="1" x14ac:dyDescent="0.4">
      <c r="C277" s="29" t="s">
        <v>11</v>
      </c>
      <c r="D277" s="29" t="s">
        <v>12</v>
      </c>
      <c r="E277" s="29" t="s">
        <v>13</v>
      </c>
      <c r="F277" s="29" t="s">
        <v>14</v>
      </c>
      <c r="G277" s="29" t="s">
        <v>15</v>
      </c>
      <c r="H277" s="29" t="s">
        <v>16</v>
      </c>
      <c r="I277" s="29" t="s">
        <v>17</v>
      </c>
      <c r="J277" s="29" t="s">
        <v>18</v>
      </c>
      <c r="K277" s="29" t="s">
        <v>19</v>
      </c>
      <c r="L277" s="29" t="s">
        <v>20</v>
      </c>
      <c r="M277" s="29" t="s">
        <v>21</v>
      </c>
      <c r="N277" s="29" t="s">
        <v>22</v>
      </c>
      <c r="O277" s="36" t="s">
        <v>23</v>
      </c>
    </row>
    <row r="278" spans="1:15" ht="13.5" customHeight="1" x14ac:dyDescent="0.4">
      <c r="A278" s="3" t="s">
        <v>206</v>
      </c>
      <c r="C278" s="46"/>
      <c r="D278" s="46"/>
      <c r="E278" s="46"/>
      <c r="F278" s="46"/>
      <c r="G278" s="46"/>
      <c r="H278" s="46"/>
      <c r="I278" s="46"/>
      <c r="J278" s="46"/>
      <c r="K278" s="46"/>
      <c r="L278" s="46"/>
      <c r="M278" s="46"/>
      <c r="N278" s="46"/>
      <c r="O278" s="33">
        <f t="shared" ref="O278:O284" si="37">SUM(C278:N278)</f>
        <v>0</v>
      </c>
    </row>
    <row r="279" spans="1:15" x14ac:dyDescent="0.4">
      <c r="A279" s="3" t="s">
        <v>207</v>
      </c>
      <c r="C279" s="46"/>
      <c r="D279" s="46"/>
      <c r="E279" s="46"/>
      <c r="F279" s="46"/>
      <c r="G279" s="46"/>
      <c r="H279" s="46"/>
      <c r="I279" s="46"/>
      <c r="J279" s="46"/>
      <c r="K279" s="46"/>
      <c r="L279" s="46"/>
      <c r="M279" s="46"/>
      <c r="N279" s="46"/>
      <c r="O279" s="33">
        <f t="shared" si="37"/>
        <v>0</v>
      </c>
    </row>
    <row r="280" spans="1:15" x14ac:dyDescent="0.4">
      <c r="A280" s="3" t="s">
        <v>208</v>
      </c>
      <c r="C280" s="46"/>
      <c r="D280" s="46"/>
      <c r="E280" s="46"/>
      <c r="F280" s="46"/>
      <c r="G280" s="46"/>
      <c r="H280" s="46"/>
      <c r="I280" s="52"/>
      <c r="J280" s="52"/>
      <c r="K280" s="52"/>
      <c r="L280" s="52"/>
      <c r="M280" s="52"/>
      <c r="N280" s="52"/>
      <c r="O280" s="33">
        <f t="shared" si="37"/>
        <v>0</v>
      </c>
    </row>
    <row r="281" spans="1:15" x14ac:dyDescent="0.4">
      <c r="A281" s="3" t="s">
        <v>209</v>
      </c>
      <c r="C281" s="46"/>
      <c r="D281" s="46"/>
      <c r="E281" s="46"/>
      <c r="F281" s="46"/>
      <c r="G281" s="46"/>
      <c r="H281" s="46"/>
      <c r="I281" s="52"/>
      <c r="J281" s="52"/>
      <c r="K281" s="52"/>
      <c r="L281" s="52"/>
      <c r="M281" s="52"/>
      <c r="N281" s="52"/>
      <c r="O281" s="33">
        <f t="shared" si="37"/>
        <v>0</v>
      </c>
    </row>
    <row r="282" spans="1:15" x14ac:dyDescent="0.4">
      <c r="A282" s="3" t="s">
        <v>210</v>
      </c>
      <c r="C282" s="46"/>
      <c r="D282" s="46"/>
      <c r="E282" s="46"/>
      <c r="F282" s="46"/>
      <c r="G282" s="46"/>
      <c r="H282" s="46"/>
      <c r="I282" s="52"/>
      <c r="J282" s="52"/>
      <c r="K282" s="52"/>
      <c r="L282" s="52"/>
      <c r="M282" s="52"/>
      <c r="N282" s="52"/>
      <c r="O282" s="33">
        <f t="shared" si="37"/>
        <v>0</v>
      </c>
    </row>
    <row r="283" spans="1:15" x14ac:dyDescent="0.4">
      <c r="A283" s="3" t="s">
        <v>211</v>
      </c>
      <c r="C283" s="46"/>
      <c r="D283" s="46"/>
      <c r="E283" s="46"/>
      <c r="F283" s="46"/>
      <c r="G283" s="46"/>
      <c r="H283" s="46"/>
      <c r="I283" s="52"/>
      <c r="J283" s="52"/>
      <c r="K283" s="52"/>
      <c r="L283" s="52"/>
      <c r="M283" s="52"/>
      <c r="N283" s="52"/>
      <c r="O283" s="33">
        <f t="shared" si="37"/>
        <v>0</v>
      </c>
    </row>
    <row r="284" spans="1:15" x14ac:dyDescent="0.4">
      <c r="A284" s="3" t="s">
        <v>83</v>
      </c>
      <c r="C284" s="55"/>
      <c r="D284" s="55"/>
      <c r="E284" s="55"/>
      <c r="F284" s="55"/>
      <c r="G284" s="55"/>
      <c r="H284" s="55"/>
      <c r="I284" s="55"/>
      <c r="J284" s="55"/>
      <c r="K284" s="55"/>
      <c r="L284" s="55"/>
      <c r="M284" s="55"/>
      <c r="N284" s="55"/>
      <c r="O284" s="33">
        <f t="shared" si="37"/>
        <v>0</v>
      </c>
    </row>
    <row r="285" spans="1:15" x14ac:dyDescent="0.4">
      <c r="A285" s="37" t="s">
        <v>212</v>
      </c>
      <c r="B285" s="37"/>
      <c r="C285" s="70"/>
      <c r="D285" s="70"/>
      <c r="E285" s="70"/>
      <c r="F285" s="70"/>
      <c r="G285" s="70"/>
      <c r="H285" s="72"/>
      <c r="I285" s="71"/>
      <c r="J285" s="73"/>
      <c r="K285" s="72"/>
      <c r="L285" s="74"/>
      <c r="M285" s="70"/>
      <c r="N285" s="73"/>
    </row>
    <row r="286" spans="1:15" ht="13" thickBot="1" x14ac:dyDescent="0.45">
      <c r="A286" s="21" t="s">
        <v>55</v>
      </c>
      <c r="B286" s="21"/>
      <c r="C286" s="22" t="str">
        <f t="shared" ref="C286:N286" si="38">IF(SUM(C278:C284)=C270,"OK","ERRO!")</f>
        <v>OK</v>
      </c>
      <c r="D286" s="22" t="str">
        <f t="shared" si="38"/>
        <v>OK</v>
      </c>
      <c r="E286" s="22" t="str">
        <f t="shared" si="38"/>
        <v>OK</v>
      </c>
      <c r="F286" s="22" t="str">
        <f t="shared" si="38"/>
        <v>OK</v>
      </c>
      <c r="G286" s="22" t="str">
        <f t="shared" si="38"/>
        <v>OK</v>
      </c>
      <c r="H286" s="22" t="str">
        <f t="shared" si="38"/>
        <v>OK</v>
      </c>
      <c r="I286" s="22" t="str">
        <f t="shared" si="38"/>
        <v>OK</v>
      </c>
      <c r="J286" s="22" t="str">
        <f t="shared" si="38"/>
        <v>OK</v>
      </c>
      <c r="K286" s="22" t="str">
        <f t="shared" si="38"/>
        <v>OK</v>
      </c>
      <c r="L286" s="22" t="str">
        <f t="shared" si="38"/>
        <v>OK</v>
      </c>
      <c r="M286" s="22" t="str">
        <f t="shared" si="38"/>
        <v>OK</v>
      </c>
      <c r="N286" s="22" t="str">
        <f t="shared" si="38"/>
        <v>OK</v>
      </c>
      <c r="O286" s="65">
        <f>SUM(O278:O284)</f>
        <v>0</v>
      </c>
    </row>
    <row r="287" spans="1:15" ht="14" thickBot="1" x14ac:dyDescent="0.45">
      <c r="A287" s="126" t="s">
        <v>213</v>
      </c>
      <c r="B287" s="126"/>
      <c r="C287" s="126"/>
      <c r="D287" s="126"/>
      <c r="E287" s="126"/>
      <c r="F287" s="126"/>
      <c r="G287" s="126"/>
      <c r="H287" s="126"/>
      <c r="I287" s="126"/>
      <c r="J287" s="126"/>
      <c r="K287" s="126"/>
      <c r="L287" s="126"/>
      <c r="M287" s="126"/>
      <c r="N287" s="126"/>
      <c r="O287" s="126"/>
    </row>
    <row r="288" spans="1:15" x14ac:dyDescent="0.4">
      <c r="A288" s="5"/>
      <c r="B288" s="5"/>
      <c r="C288" s="94" t="s">
        <v>200</v>
      </c>
      <c r="D288" s="94"/>
      <c r="E288" s="94"/>
      <c r="F288" s="94"/>
      <c r="G288" s="94"/>
      <c r="H288" s="94"/>
      <c r="I288" s="94"/>
      <c r="J288" s="94"/>
      <c r="K288" s="94"/>
      <c r="L288" s="94"/>
      <c r="M288" s="94"/>
      <c r="N288" s="94"/>
      <c r="O288" s="94"/>
    </row>
    <row r="289" spans="1:15" x14ac:dyDescent="0.4">
      <c r="C289" s="29" t="s">
        <v>11</v>
      </c>
      <c r="D289" s="29" t="s">
        <v>12</v>
      </c>
      <c r="E289" s="29" t="s">
        <v>13</v>
      </c>
      <c r="F289" s="29" t="s">
        <v>14</v>
      </c>
      <c r="G289" s="29" t="s">
        <v>15</v>
      </c>
      <c r="H289" s="29" t="s">
        <v>16</v>
      </c>
      <c r="I289" s="29" t="s">
        <v>17</v>
      </c>
      <c r="J289" s="29" t="s">
        <v>18</v>
      </c>
      <c r="K289" s="29" t="s">
        <v>19</v>
      </c>
      <c r="L289" s="29" t="s">
        <v>20</v>
      </c>
      <c r="M289" s="29" t="s">
        <v>21</v>
      </c>
      <c r="N289" s="29" t="s">
        <v>22</v>
      </c>
      <c r="O289" s="36" t="s">
        <v>214</v>
      </c>
    </row>
    <row r="290" spans="1:15" x14ac:dyDescent="0.4">
      <c r="A290" s="3" t="s">
        <v>215</v>
      </c>
      <c r="C290" s="46"/>
      <c r="D290" s="46"/>
      <c r="E290" s="46"/>
      <c r="F290" s="46"/>
      <c r="G290" s="46"/>
      <c r="H290" s="46"/>
      <c r="I290" s="52"/>
      <c r="J290" s="52"/>
      <c r="K290" s="46"/>
      <c r="L290" s="51"/>
      <c r="M290" s="46"/>
      <c r="N290" s="52"/>
      <c r="O290" s="33">
        <f t="shared" ref="O290:O296" si="39">SUM(C290:N290)</f>
        <v>0</v>
      </c>
    </row>
    <row r="291" spans="1:15" x14ac:dyDescent="0.4">
      <c r="A291" s="3" t="s">
        <v>216</v>
      </c>
      <c r="C291" s="46"/>
      <c r="D291" s="46"/>
      <c r="E291" s="46"/>
      <c r="F291" s="52"/>
      <c r="G291" s="52"/>
      <c r="H291" s="52"/>
      <c r="I291" s="52"/>
      <c r="J291" s="52"/>
      <c r="K291" s="52"/>
      <c r="L291" s="52"/>
      <c r="M291" s="52"/>
      <c r="N291" s="52"/>
      <c r="O291" s="33">
        <f t="shared" si="39"/>
        <v>0</v>
      </c>
    </row>
    <row r="292" spans="1:15" x14ac:dyDescent="0.4">
      <c r="A292" s="3" t="s">
        <v>217</v>
      </c>
      <c r="C292" s="46"/>
      <c r="D292" s="46"/>
      <c r="E292" s="46"/>
      <c r="F292" s="46"/>
      <c r="G292" s="46"/>
      <c r="H292" s="46"/>
      <c r="I292" s="52"/>
      <c r="J292" s="52"/>
      <c r="K292" s="52"/>
      <c r="L292" s="52"/>
      <c r="M292" s="52"/>
      <c r="N292" s="52"/>
      <c r="O292" s="33">
        <f t="shared" si="39"/>
        <v>0</v>
      </c>
    </row>
    <row r="293" spans="1:15" x14ac:dyDescent="0.4">
      <c r="A293" s="3" t="s">
        <v>218</v>
      </c>
      <c r="C293" s="46"/>
      <c r="D293" s="46"/>
      <c r="E293" s="46"/>
      <c r="F293" s="46"/>
      <c r="G293" s="46"/>
      <c r="H293" s="46"/>
      <c r="I293" s="46"/>
      <c r="J293" s="46"/>
      <c r="K293" s="46"/>
      <c r="L293" s="46"/>
      <c r="M293" s="46"/>
      <c r="N293" s="52"/>
      <c r="O293" s="33">
        <f t="shared" si="39"/>
        <v>0</v>
      </c>
    </row>
    <row r="294" spans="1:15" x14ac:dyDescent="0.4">
      <c r="A294" s="3" t="s">
        <v>219</v>
      </c>
      <c r="C294" s="46"/>
      <c r="D294" s="46"/>
      <c r="E294" s="46"/>
      <c r="F294" s="46"/>
      <c r="G294" s="46"/>
      <c r="H294" s="46"/>
      <c r="I294" s="46"/>
      <c r="J294" s="46"/>
      <c r="K294" s="46"/>
      <c r="L294" s="46"/>
      <c r="M294" s="46"/>
      <c r="N294" s="52"/>
      <c r="O294" s="33">
        <f t="shared" si="39"/>
        <v>0</v>
      </c>
    </row>
    <row r="295" spans="1:15" x14ac:dyDescent="0.4">
      <c r="A295" s="3" t="s">
        <v>220</v>
      </c>
      <c r="C295" s="46"/>
      <c r="D295" s="46"/>
      <c r="E295" s="46"/>
      <c r="F295" s="46"/>
      <c r="G295" s="46"/>
      <c r="H295" s="46"/>
      <c r="I295" s="46"/>
      <c r="J295" s="46"/>
      <c r="K295" s="46"/>
      <c r="L295" s="46"/>
      <c r="M295" s="46"/>
      <c r="N295" s="52"/>
      <c r="O295" s="33">
        <f t="shared" si="39"/>
        <v>0</v>
      </c>
    </row>
    <row r="296" spans="1:15" x14ac:dyDescent="0.4">
      <c r="A296" s="3" t="s">
        <v>205</v>
      </c>
      <c r="C296" s="7">
        <f t="shared" ref="C296:N296" si="40">C27</f>
        <v>2</v>
      </c>
      <c r="D296" s="7">
        <f t="shared" si="40"/>
        <v>0</v>
      </c>
      <c r="E296" s="7">
        <f t="shared" si="40"/>
        <v>0</v>
      </c>
      <c r="F296" s="7">
        <f t="shared" si="40"/>
        <v>0</v>
      </c>
      <c r="G296" s="7">
        <f t="shared" si="40"/>
        <v>0</v>
      </c>
      <c r="H296" s="7">
        <f t="shared" si="40"/>
        <v>0</v>
      </c>
      <c r="I296" s="7">
        <f t="shared" si="40"/>
        <v>0</v>
      </c>
      <c r="J296" s="7">
        <f t="shared" si="40"/>
        <v>0</v>
      </c>
      <c r="K296" s="7">
        <f t="shared" si="40"/>
        <v>0</v>
      </c>
      <c r="L296" s="7">
        <f t="shared" si="40"/>
        <v>0</v>
      </c>
      <c r="M296" s="7">
        <f t="shared" si="40"/>
        <v>0</v>
      </c>
      <c r="N296" s="7">
        <f t="shared" si="40"/>
        <v>0</v>
      </c>
      <c r="O296" s="33">
        <f t="shared" si="39"/>
        <v>2</v>
      </c>
    </row>
    <row r="297" spans="1:15" ht="13" thickBot="1" x14ac:dyDescent="0.45">
      <c r="A297" s="21" t="s">
        <v>55</v>
      </c>
      <c r="B297" s="21"/>
      <c r="C297" s="22" t="str">
        <f t="shared" ref="C297:N297" si="41">IF(SUM(C290:C296)=C25+C27," OK ","ERRO!")</f>
        <v>ERRO!</v>
      </c>
      <c r="D297" s="22" t="str">
        <f t="shared" si="41"/>
        <v xml:space="preserve"> OK </v>
      </c>
      <c r="E297" s="22" t="str">
        <f t="shared" si="41"/>
        <v xml:space="preserve"> OK </v>
      </c>
      <c r="F297" s="22" t="str">
        <f t="shared" si="41"/>
        <v xml:space="preserve"> OK </v>
      </c>
      <c r="G297" s="22" t="str">
        <f t="shared" si="41"/>
        <v xml:space="preserve"> OK </v>
      </c>
      <c r="H297" s="22" t="str">
        <f t="shared" si="41"/>
        <v xml:space="preserve"> OK </v>
      </c>
      <c r="I297" s="22" t="str">
        <f t="shared" si="41"/>
        <v xml:space="preserve"> OK </v>
      </c>
      <c r="J297" s="22" t="str">
        <f t="shared" si="41"/>
        <v xml:space="preserve"> OK </v>
      </c>
      <c r="K297" s="22" t="str">
        <f t="shared" si="41"/>
        <v xml:space="preserve"> OK </v>
      </c>
      <c r="L297" s="22" t="str">
        <f t="shared" si="41"/>
        <v xml:space="preserve"> OK </v>
      </c>
      <c r="M297" s="22" t="str">
        <f t="shared" si="41"/>
        <v xml:space="preserve"> OK </v>
      </c>
      <c r="N297" s="22" t="str">
        <f t="shared" si="41"/>
        <v xml:space="preserve"> OK </v>
      </c>
      <c r="O297" s="22">
        <f>SUM(O290:O296)</f>
        <v>2</v>
      </c>
    </row>
    <row r="298" spans="1:15" ht="14" thickBot="1" x14ac:dyDescent="0.45">
      <c r="A298" s="126" t="s">
        <v>221</v>
      </c>
      <c r="B298" s="126"/>
      <c r="C298" s="126"/>
      <c r="D298" s="126"/>
      <c r="E298" s="126"/>
      <c r="F298" s="126"/>
      <c r="G298" s="126"/>
      <c r="H298" s="126"/>
      <c r="I298" s="126"/>
      <c r="J298" s="126"/>
      <c r="K298" s="126"/>
      <c r="L298" s="126"/>
      <c r="M298" s="126"/>
      <c r="N298" s="126"/>
      <c r="O298" s="126"/>
    </row>
    <row r="299" spans="1:15" x14ac:dyDescent="0.4">
      <c r="A299" s="5"/>
      <c r="B299" s="5"/>
      <c r="C299" s="94" t="s">
        <v>200</v>
      </c>
      <c r="D299" s="94"/>
      <c r="E299" s="94"/>
      <c r="F299" s="94"/>
      <c r="G299" s="94"/>
      <c r="H299" s="94"/>
      <c r="I299" s="94"/>
      <c r="J299" s="94"/>
      <c r="K299" s="94"/>
      <c r="L299" s="94"/>
      <c r="M299" s="94"/>
      <c r="N299" s="94"/>
      <c r="O299" s="94"/>
    </row>
    <row r="300" spans="1:15" x14ac:dyDescent="0.4">
      <c r="C300" s="29" t="s">
        <v>11</v>
      </c>
      <c r="D300" s="29" t="s">
        <v>12</v>
      </c>
      <c r="E300" s="29" t="s">
        <v>13</v>
      </c>
      <c r="F300" s="29" t="s">
        <v>14</v>
      </c>
      <c r="G300" s="29" t="s">
        <v>15</v>
      </c>
      <c r="H300" s="29" t="s">
        <v>16</v>
      </c>
      <c r="I300" s="29" t="s">
        <v>17</v>
      </c>
      <c r="J300" s="29" t="s">
        <v>18</v>
      </c>
      <c r="K300" s="29" t="s">
        <v>19</v>
      </c>
      <c r="L300" s="29" t="s">
        <v>20</v>
      </c>
      <c r="M300" s="29" t="s">
        <v>21</v>
      </c>
      <c r="N300" s="29" t="s">
        <v>22</v>
      </c>
      <c r="O300" s="36" t="s">
        <v>214</v>
      </c>
    </row>
    <row r="301" spans="1:15" x14ac:dyDescent="0.4">
      <c r="A301" s="3" t="s">
        <v>222</v>
      </c>
      <c r="C301" s="46"/>
      <c r="D301" s="46"/>
      <c r="E301" s="46"/>
      <c r="F301" s="46"/>
      <c r="G301" s="46"/>
      <c r="H301" s="46"/>
      <c r="I301" s="52"/>
      <c r="J301" s="52"/>
      <c r="K301" s="46"/>
      <c r="L301" s="51"/>
      <c r="M301" s="46"/>
      <c r="N301" s="52"/>
      <c r="O301" s="33">
        <f t="shared" ref="O301:O303" si="42">SUM(C301:N301)</f>
        <v>0</v>
      </c>
    </row>
    <row r="302" spans="1:15" x14ac:dyDescent="0.4">
      <c r="A302" s="3" t="s">
        <v>223</v>
      </c>
      <c r="C302" s="46"/>
      <c r="D302" s="46"/>
      <c r="E302" s="46"/>
      <c r="F302" s="52"/>
      <c r="G302" s="52"/>
      <c r="H302" s="52"/>
      <c r="I302" s="52"/>
      <c r="J302" s="52"/>
      <c r="K302" s="52"/>
      <c r="L302" s="52"/>
      <c r="M302" s="52"/>
      <c r="N302" s="52"/>
      <c r="O302" s="33">
        <f t="shared" si="42"/>
        <v>0</v>
      </c>
    </row>
    <row r="303" spans="1:15" x14ac:dyDescent="0.4">
      <c r="A303" s="3" t="s">
        <v>205</v>
      </c>
      <c r="C303" s="7">
        <f>C27</f>
        <v>2</v>
      </c>
      <c r="D303" s="7">
        <f t="shared" ref="D303:N303" si="43">D27</f>
        <v>0</v>
      </c>
      <c r="E303" s="7">
        <f t="shared" si="43"/>
        <v>0</v>
      </c>
      <c r="F303" s="7">
        <f t="shared" si="43"/>
        <v>0</v>
      </c>
      <c r="G303" s="7">
        <f t="shared" si="43"/>
        <v>0</v>
      </c>
      <c r="H303" s="7">
        <f t="shared" si="43"/>
        <v>0</v>
      </c>
      <c r="I303" s="7">
        <f t="shared" si="43"/>
        <v>0</v>
      </c>
      <c r="J303" s="7">
        <f t="shared" si="43"/>
        <v>0</v>
      </c>
      <c r="K303" s="7">
        <f t="shared" si="43"/>
        <v>0</v>
      </c>
      <c r="L303" s="7">
        <f t="shared" si="43"/>
        <v>0</v>
      </c>
      <c r="M303" s="7">
        <f t="shared" si="43"/>
        <v>0</v>
      </c>
      <c r="N303" s="7">
        <f t="shared" si="43"/>
        <v>0</v>
      </c>
      <c r="O303" s="33">
        <f t="shared" si="42"/>
        <v>2</v>
      </c>
    </row>
    <row r="304" spans="1:15" ht="13" thickBot="1" x14ac:dyDescent="0.45">
      <c r="A304" s="21" t="s">
        <v>55</v>
      </c>
      <c r="B304" s="21"/>
      <c r="C304" s="22" t="str">
        <f t="shared" ref="C304:N304" si="44">IF(SUM(C301:C303)=C25+C27," OK ","ERRO!")</f>
        <v>ERRO!</v>
      </c>
      <c r="D304" s="22" t="str">
        <f t="shared" si="44"/>
        <v xml:space="preserve"> OK </v>
      </c>
      <c r="E304" s="22" t="str">
        <f t="shared" si="44"/>
        <v xml:space="preserve"> OK </v>
      </c>
      <c r="F304" s="22" t="str">
        <f t="shared" si="44"/>
        <v xml:space="preserve"> OK </v>
      </c>
      <c r="G304" s="22" t="str">
        <f t="shared" si="44"/>
        <v xml:space="preserve"> OK </v>
      </c>
      <c r="H304" s="22" t="str">
        <f t="shared" si="44"/>
        <v xml:space="preserve"> OK </v>
      </c>
      <c r="I304" s="22" t="str">
        <f t="shared" si="44"/>
        <v xml:space="preserve"> OK </v>
      </c>
      <c r="J304" s="22" t="str">
        <f t="shared" si="44"/>
        <v xml:space="preserve"> OK </v>
      </c>
      <c r="K304" s="22" t="str">
        <f t="shared" si="44"/>
        <v xml:space="preserve"> OK </v>
      </c>
      <c r="L304" s="22" t="str">
        <f t="shared" si="44"/>
        <v xml:space="preserve"> OK </v>
      </c>
      <c r="M304" s="22" t="str">
        <f t="shared" si="44"/>
        <v xml:space="preserve"> OK </v>
      </c>
      <c r="N304" s="22" t="str">
        <f t="shared" si="44"/>
        <v xml:space="preserve"> OK </v>
      </c>
      <c r="O304" s="22">
        <f>SUM(O301:O303)</f>
        <v>2</v>
      </c>
    </row>
    <row r="305" spans="1:15" ht="13" thickBot="1" x14ac:dyDescent="0.45">
      <c r="A305"/>
      <c r="C305" s="3"/>
      <c r="E305" s="9"/>
      <c r="O305" s="7"/>
    </row>
    <row r="306" spans="1:15" ht="14.7" x14ac:dyDescent="0.4">
      <c r="A306" s="123" t="s">
        <v>224</v>
      </c>
      <c r="B306" s="124"/>
      <c r="C306" s="124"/>
      <c r="D306" s="124"/>
      <c r="E306" s="124"/>
      <c r="F306" s="124"/>
      <c r="G306" s="124"/>
      <c r="H306" s="124"/>
      <c r="I306" s="124"/>
      <c r="J306" s="124"/>
      <c r="K306" s="124"/>
      <c r="L306" s="124"/>
      <c r="M306" s="124"/>
      <c r="N306" s="124"/>
      <c r="O306" s="125"/>
    </row>
    <row r="307" spans="1:15" x14ac:dyDescent="0.4">
      <c r="A307" s="114"/>
      <c r="B307" s="115"/>
      <c r="C307" s="115"/>
      <c r="D307" s="115"/>
      <c r="E307" s="115"/>
      <c r="F307" s="115"/>
      <c r="G307" s="115"/>
      <c r="H307" s="115"/>
      <c r="I307" s="115"/>
      <c r="J307" s="115"/>
      <c r="K307" s="115"/>
      <c r="L307" s="115"/>
      <c r="M307" s="115"/>
      <c r="N307" s="115"/>
      <c r="O307" s="116"/>
    </row>
    <row r="308" spans="1:15" x14ac:dyDescent="0.4">
      <c r="A308" s="117"/>
      <c r="B308" s="118"/>
      <c r="C308" s="118"/>
      <c r="D308" s="118"/>
      <c r="E308" s="118"/>
      <c r="F308" s="118"/>
      <c r="G308" s="118"/>
      <c r="H308" s="118"/>
      <c r="I308" s="118"/>
      <c r="J308" s="118"/>
      <c r="K308" s="118"/>
      <c r="L308" s="118"/>
      <c r="M308" s="118"/>
      <c r="N308" s="118"/>
      <c r="O308" s="119"/>
    </row>
    <row r="309" spans="1:15" x14ac:dyDescent="0.4">
      <c r="A309" s="117"/>
      <c r="B309" s="118"/>
      <c r="C309" s="118"/>
      <c r="D309" s="118"/>
      <c r="E309" s="118"/>
      <c r="F309" s="118"/>
      <c r="G309" s="118"/>
      <c r="H309" s="118"/>
      <c r="I309" s="118"/>
      <c r="J309" s="118"/>
      <c r="K309" s="118"/>
      <c r="L309" s="118"/>
      <c r="M309" s="118"/>
      <c r="N309" s="118"/>
      <c r="O309" s="119"/>
    </row>
    <row r="310" spans="1:15" x14ac:dyDescent="0.4">
      <c r="A310" s="117"/>
      <c r="B310" s="118"/>
      <c r="C310" s="118"/>
      <c r="D310" s="118"/>
      <c r="E310" s="118"/>
      <c r="F310" s="118"/>
      <c r="G310" s="118"/>
      <c r="H310" s="118"/>
      <c r="I310" s="118"/>
      <c r="J310" s="118"/>
      <c r="K310" s="118"/>
      <c r="L310" s="118"/>
      <c r="M310" s="118"/>
      <c r="N310" s="118"/>
      <c r="O310" s="119"/>
    </row>
    <row r="311" spans="1:15" x14ac:dyDescent="0.4">
      <c r="A311" s="117"/>
      <c r="B311" s="118"/>
      <c r="C311" s="118"/>
      <c r="D311" s="118"/>
      <c r="E311" s="118"/>
      <c r="F311" s="118"/>
      <c r="G311" s="118"/>
      <c r="H311" s="118"/>
      <c r="I311" s="118"/>
      <c r="J311" s="118"/>
      <c r="K311" s="118"/>
      <c r="L311" s="118"/>
      <c r="M311" s="118"/>
      <c r="N311" s="118"/>
      <c r="O311" s="119"/>
    </row>
    <row r="312" spans="1:15" x14ac:dyDescent="0.4">
      <c r="A312" s="117"/>
      <c r="B312" s="118"/>
      <c r="C312" s="118"/>
      <c r="D312" s="118"/>
      <c r="E312" s="118"/>
      <c r="F312" s="118"/>
      <c r="G312" s="118"/>
      <c r="H312" s="118"/>
      <c r="I312" s="118"/>
      <c r="J312" s="118"/>
      <c r="K312" s="118"/>
      <c r="L312" s="118"/>
      <c r="M312" s="118"/>
      <c r="N312" s="118"/>
      <c r="O312" s="119"/>
    </row>
    <row r="313" spans="1:15" x14ac:dyDescent="0.4">
      <c r="A313" s="117"/>
      <c r="B313" s="118"/>
      <c r="C313" s="118"/>
      <c r="D313" s="118"/>
      <c r="E313" s="118"/>
      <c r="F313" s="118"/>
      <c r="G313" s="118"/>
      <c r="H313" s="118"/>
      <c r="I313" s="118"/>
      <c r="J313" s="118"/>
      <c r="K313" s="118"/>
      <c r="L313" s="118"/>
      <c r="M313" s="118"/>
      <c r="N313" s="118"/>
      <c r="O313" s="119"/>
    </row>
    <row r="314" spans="1:15" x14ac:dyDescent="0.4">
      <c r="A314" s="117"/>
      <c r="B314" s="118"/>
      <c r="C314" s="118"/>
      <c r="D314" s="118"/>
      <c r="E314" s="118"/>
      <c r="F314" s="118"/>
      <c r="G314" s="118"/>
      <c r="H314" s="118"/>
      <c r="I314" s="118"/>
      <c r="J314" s="118"/>
      <c r="K314" s="118"/>
      <c r="L314" s="118"/>
      <c r="M314" s="118"/>
      <c r="N314" s="118"/>
      <c r="O314" s="119"/>
    </row>
    <row r="315" spans="1:15" x14ac:dyDescent="0.4">
      <c r="A315" s="117"/>
      <c r="B315" s="118"/>
      <c r="C315" s="118"/>
      <c r="D315" s="118"/>
      <c r="E315" s="118"/>
      <c r="F315" s="118"/>
      <c r="G315" s="118"/>
      <c r="H315" s="118"/>
      <c r="I315" s="118"/>
      <c r="J315" s="118"/>
      <c r="K315" s="118"/>
      <c r="L315" s="118"/>
      <c r="M315" s="118"/>
      <c r="N315" s="118"/>
      <c r="O315" s="119"/>
    </row>
    <row r="316" spans="1:15" x14ac:dyDescent="0.4">
      <c r="A316" s="117"/>
      <c r="B316" s="118"/>
      <c r="C316" s="118"/>
      <c r="D316" s="118"/>
      <c r="E316" s="118"/>
      <c r="F316" s="118"/>
      <c r="G316" s="118"/>
      <c r="H316" s="118"/>
      <c r="I316" s="118"/>
      <c r="J316" s="118"/>
      <c r="K316" s="118"/>
      <c r="L316" s="118"/>
      <c r="M316" s="118"/>
      <c r="N316" s="118"/>
      <c r="O316" s="119"/>
    </row>
    <row r="317" spans="1:15" x14ac:dyDescent="0.4">
      <c r="A317" s="117"/>
      <c r="B317" s="118"/>
      <c r="C317" s="118"/>
      <c r="D317" s="118"/>
      <c r="E317" s="118"/>
      <c r="F317" s="118"/>
      <c r="G317" s="118"/>
      <c r="H317" s="118"/>
      <c r="I317" s="118"/>
      <c r="J317" s="118"/>
      <c r="K317" s="118"/>
      <c r="L317" s="118"/>
      <c r="M317" s="118"/>
      <c r="N317" s="118"/>
      <c r="O317" s="119"/>
    </row>
    <row r="318" spans="1:15" x14ac:dyDescent="0.4">
      <c r="A318" s="120"/>
      <c r="B318" s="121"/>
      <c r="C318" s="121"/>
      <c r="D318" s="121"/>
      <c r="E318" s="121"/>
      <c r="F318" s="121"/>
      <c r="G318" s="121"/>
      <c r="H318" s="121"/>
      <c r="I318" s="121"/>
      <c r="J318" s="121"/>
      <c r="K318" s="121"/>
      <c r="L318" s="121"/>
      <c r="M318" s="121"/>
      <c r="N318" s="121"/>
      <c r="O318" s="122"/>
    </row>
    <row r="324" spans="1:14" x14ac:dyDescent="0.4">
      <c r="A324"/>
      <c r="B324"/>
      <c r="C324"/>
      <c r="D324"/>
      <c r="E324"/>
      <c r="F324"/>
      <c r="G324"/>
      <c r="H324"/>
      <c r="I324"/>
      <c r="J324"/>
      <c r="K324"/>
      <c r="L324"/>
      <c r="M324"/>
      <c r="N324"/>
    </row>
    <row r="325" spans="1:14" x14ac:dyDescent="0.4">
      <c r="A325"/>
      <c r="B325"/>
      <c r="C325"/>
      <c r="D325"/>
      <c r="E325"/>
      <c r="F325"/>
      <c r="G325"/>
      <c r="H325"/>
      <c r="I325"/>
      <c r="J325"/>
      <c r="K325"/>
      <c r="L325"/>
      <c r="M325"/>
      <c r="N325"/>
    </row>
    <row r="326" spans="1:14" x14ac:dyDescent="0.4">
      <c r="A326"/>
      <c r="B326"/>
      <c r="C326"/>
      <c r="D326"/>
      <c r="E326"/>
      <c r="F326"/>
      <c r="G326"/>
      <c r="H326"/>
      <c r="I326"/>
      <c r="J326"/>
      <c r="K326"/>
      <c r="L326"/>
      <c r="M326"/>
      <c r="N326"/>
    </row>
    <row r="327" spans="1:14" x14ac:dyDescent="0.4">
      <c r="A327"/>
      <c r="B327"/>
      <c r="C327"/>
      <c r="D327"/>
      <c r="E327"/>
      <c r="F327"/>
      <c r="G327"/>
      <c r="H327"/>
      <c r="I327"/>
      <c r="J327"/>
      <c r="K327"/>
      <c r="L327"/>
      <c r="M327"/>
      <c r="N327"/>
    </row>
    <row r="328" spans="1:14" x14ac:dyDescent="0.4">
      <c r="A328"/>
      <c r="B328"/>
      <c r="C328"/>
      <c r="D328"/>
      <c r="E328"/>
      <c r="F328"/>
      <c r="G328"/>
      <c r="H328"/>
      <c r="I328"/>
      <c r="J328"/>
      <c r="K328"/>
      <c r="L328"/>
      <c r="M328"/>
      <c r="N328"/>
    </row>
    <row r="329" spans="1:14" x14ac:dyDescent="0.4">
      <c r="A329"/>
      <c r="B329"/>
      <c r="C329"/>
      <c r="D329"/>
      <c r="E329"/>
      <c r="F329"/>
      <c r="G329"/>
      <c r="H329"/>
      <c r="I329"/>
      <c r="J329"/>
      <c r="K329"/>
      <c r="L329"/>
      <c r="M329"/>
      <c r="N329"/>
    </row>
    <row r="330" spans="1:14" x14ac:dyDescent="0.4">
      <c r="A330"/>
      <c r="B330"/>
      <c r="C330"/>
      <c r="D330"/>
      <c r="E330"/>
      <c r="F330"/>
      <c r="G330"/>
      <c r="H330"/>
      <c r="I330"/>
      <c r="J330"/>
      <c r="K330"/>
      <c r="L330"/>
      <c r="M330"/>
      <c r="N330"/>
    </row>
    <row r="331" spans="1:14" x14ac:dyDescent="0.4">
      <c r="A331"/>
      <c r="B331"/>
      <c r="C331"/>
      <c r="D331"/>
      <c r="E331"/>
      <c r="F331"/>
      <c r="G331"/>
      <c r="H331"/>
      <c r="I331"/>
      <c r="J331"/>
      <c r="K331"/>
      <c r="L331"/>
      <c r="M331"/>
      <c r="N331"/>
    </row>
    <row r="332" spans="1:14" x14ac:dyDescent="0.4">
      <c r="A332"/>
      <c r="B332"/>
      <c r="C332"/>
      <c r="D332"/>
      <c r="E332"/>
      <c r="F332"/>
      <c r="G332"/>
      <c r="H332"/>
      <c r="I332"/>
      <c r="J332"/>
      <c r="K332"/>
      <c r="L332"/>
      <c r="M332"/>
      <c r="N332"/>
    </row>
    <row r="333" spans="1:14" x14ac:dyDescent="0.4">
      <c r="A333"/>
      <c r="B333"/>
      <c r="C333"/>
      <c r="D333"/>
      <c r="E333"/>
      <c r="F333"/>
      <c r="G333"/>
      <c r="H333"/>
      <c r="I333"/>
      <c r="J333"/>
      <c r="K333"/>
      <c r="L333"/>
      <c r="M333"/>
      <c r="N333"/>
    </row>
    <row r="334" spans="1:14" x14ac:dyDescent="0.4">
      <c r="A334"/>
      <c r="B334"/>
      <c r="C334"/>
      <c r="D334"/>
      <c r="E334"/>
      <c r="F334"/>
      <c r="G334"/>
      <c r="H334"/>
      <c r="I334"/>
      <c r="J334"/>
      <c r="K334"/>
      <c r="L334"/>
      <c r="M334"/>
      <c r="N334"/>
    </row>
    <row r="335" spans="1:14" x14ac:dyDescent="0.4">
      <c r="A335"/>
      <c r="B335"/>
      <c r="C335"/>
      <c r="D335"/>
      <c r="E335"/>
      <c r="F335"/>
      <c r="G335"/>
      <c r="H335"/>
      <c r="I335"/>
      <c r="J335"/>
      <c r="K335"/>
      <c r="L335"/>
      <c r="M335"/>
      <c r="N335"/>
    </row>
    <row r="336" spans="1:14" x14ac:dyDescent="0.4">
      <c r="A336"/>
      <c r="B336"/>
      <c r="C336"/>
      <c r="D336"/>
      <c r="E336"/>
      <c r="F336"/>
      <c r="G336"/>
      <c r="H336"/>
      <c r="I336"/>
      <c r="J336"/>
      <c r="K336"/>
      <c r="L336"/>
      <c r="M336"/>
      <c r="N336"/>
    </row>
    <row r="337" spans="1:14" x14ac:dyDescent="0.4">
      <c r="A337"/>
      <c r="B337"/>
      <c r="C337"/>
      <c r="D337"/>
      <c r="E337"/>
      <c r="F337"/>
      <c r="G337"/>
      <c r="H337"/>
      <c r="I337"/>
      <c r="J337"/>
      <c r="K337"/>
      <c r="L337"/>
      <c r="M337"/>
      <c r="N337"/>
    </row>
    <row r="338" spans="1:14" x14ac:dyDescent="0.4">
      <c r="A338"/>
      <c r="B338"/>
      <c r="C338"/>
      <c r="D338"/>
      <c r="E338"/>
      <c r="F338"/>
      <c r="G338"/>
      <c r="H338"/>
      <c r="I338"/>
      <c r="J338"/>
      <c r="K338"/>
      <c r="L338"/>
      <c r="M338"/>
      <c r="N338"/>
    </row>
    <row r="339" spans="1:14" x14ac:dyDescent="0.4">
      <c r="A339"/>
      <c r="B339"/>
      <c r="C339"/>
      <c r="D339"/>
      <c r="E339"/>
      <c r="F339"/>
      <c r="G339"/>
      <c r="H339"/>
      <c r="I339"/>
      <c r="J339"/>
      <c r="K339"/>
      <c r="L339"/>
      <c r="M339"/>
      <c r="N339"/>
    </row>
    <row r="340" spans="1:14" x14ac:dyDescent="0.4">
      <c r="A340"/>
      <c r="B340"/>
      <c r="C340"/>
      <c r="D340"/>
      <c r="E340"/>
      <c r="F340"/>
      <c r="G340"/>
      <c r="H340"/>
      <c r="I340"/>
      <c r="J340"/>
      <c r="K340"/>
      <c r="L340"/>
      <c r="M340"/>
      <c r="N340"/>
    </row>
    <row r="341" spans="1:14" x14ac:dyDescent="0.4">
      <c r="A341"/>
      <c r="B341"/>
      <c r="C341"/>
      <c r="D341"/>
      <c r="E341"/>
      <c r="F341"/>
      <c r="G341"/>
      <c r="H341"/>
      <c r="I341"/>
      <c r="J341"/>
      <c r="K341"/>
      <c r="L341"/>
      <c r="M341"/>
      <c r="N341"/>
    </row>
    <row r="342" spans="1:14" x14ac:dyDescent="0.4">
      <c r="A342"/>
      <c r="B342"/>
      <c r="C342"/>
      <c r="D342"/>
      <c r="E342"/>
      <c r="F342"/>
      <c r="G342"/>
      <c r="H342"/>
      <c r="I342"/>
      <c r="J342"/>
      <c r="K342"/>
      <c r="L342"/>
      <c r="M342"/>
      <c r="N342"/>
    </row>
    <row r="343" spans="1:14" x14ac:dyDescent="0.4">
      <c r="A343"/>
      <c r="B343"/>
      <c r="C343"/>
      <c r="D343"/>
      <c r="E343"/>
      <c r="F343"/>
      <c r="G343"/>
      <c r="H343"/>
      <c r="I343"/>
      <c r="J343"/>
      <c r="K343"/>
      <c r="L343"/>
      <c r="M343"/>
      <c r="N343"/>
    </row>
    <row r="344" spans="1:14" x14ac:dyDescent="0.4">
      <c r="A344"/>
      <c r="B344"/>
      <c r="C344"/>
      <c r="D344"/>
      <c r="E344"/>
      <c r="F344"/>
      <c r="G344"/>
      <c r="H344"/>
      <c r="I344"/>
      <c r="J344"/>
      <c r="K344"/>
      <c r="L344"/>
      <c r="M344"/>
      <c r="N344"/>
    </row>
    <row r="345" spans="1:14" x14ac:dyDescent="0.4">
      <c r="A345"/>
      <c r="B345"/>
      <c r="C345"/>
      <c r="D345"/>
      <c r="E345"/>
      <c r="F345"/>
      <c r="G345"/>
      <c r="H345"/>
      <c r="I345"/>
      <c r="J345"/>
      <c r="K345"/>
      <c r="L345"/>
      <c r="M345"/>
      <c r="N345"/>
    </row>
    <row r="346" spans="1:14" x14ac:dyDescent="0.4">
      <c r="A346"/>
      <c r="B346"/>
      <c r="C346"/>
      <c r="D346"/>
      <c r="E346"/>
      <c r="F346"/>
      <c r="G346"/>
      <c r="H346"/>
      <c r="I346"/>
      <c r="J346"/>
      <c r="K346"/>
      <c r="L346"/>
      <c r="M346"/>
      <c r="N346"/>
    </row>
    <row r="347" spans="1:14" x14ac:dyDescent="0.4">
      <c r="A347"/>
      <c r="B347"/>
      <c r="C347"/>
      <c r="D347"/>
      <c r="E347"/>
      <c r="F347"/>
      <c r="G347"/>
      <c r="H347"/>
      <c r="I347"/>
      <c r="J347"/>
      <c r="K347"/>
      <c r="L347"/>
      <c r="M347"/>
      <c r="N347"/>
    </row>
    <row r="348" spans="1:14" x14ac:dyDescent="0.4">
      <c r="A348"/>
      <c r="B348"/>
      <c r="C348"/>
      <c r="D348"/>
      <c r="E348"/>
      <c r="F348"/>
      <c r="G348"/>
      <c r="H348"/>
      <c r="I348"/>
      <c r="J348"/>
      <c r="K348"/>
      <c r="L348"/>
      <c r="M348"/>
      <c r="N348"/>
    </row>
    <row r="349" spans="1:14" x14ac:dyDescent="0.4">
      <c r="A349"/>
      <c r="B349"/>
      <c r="C349"/>
      <c r="D349"/>
      <c r="E349"/>
      <c r="F349"/>
      <c r="G349"/>
      <c r="H349"/>
      <c r="I349"/>
      <c r="J349"/>
      <c r="K349"/>
      <c r="L349"/>
      <c r="M349"/>
      <c r="N349"/>
    </row>
    <row r="350" spans="1:14" x14ac:dyDescent="0.4">
      <c r="A350"/>
      <c r="B350"/>
      <c r="C350"/>
      <c r="D350"/>
      <c r="E350"/>
      <c r="F350"/>
      <c r="G350"/>
      <c r="H350"/>
      <c r="I350"/>
      <c r="J350"/>
      <c r="K350"/>
      <c r="L350"/>
      <c r="M350"/>
      <c r="N350"/>
    </row>
    <row r="351" spans="1:14" x14ac:dyDescent="0.4">
      <c r="A351"/>
      <c r="B351"/>
      <c r="C351"/>
      <c r="D351"/>
      <c r="E351"/>
      <c r="F351"/>
      <c r="G351"/>
      <c r="H351"/>
      <c r="I351"/>
      <c r="J351"/>
      <c r="K351"/>
      <c r="L351"/>
      <c r="M351"/>
      <c r="N351"/>
    </row>
    <row r="352" spans="1:14" x14ac:dyDescent="0.4">
      <c r="A352"/>
      <c r="B352"/>
      <c r="C352"/>
      <c r="D352"/>
      <c r="E352"/>
      <c r="F352"/>
      <c r="G352"/>
      <c r="H352"/>
      <c r="I352"/>
      <c r="J352"/>
      <c r="K352"/>
      <c r="L352"/>
      <c r="M352"/>
      <c r="N352"/>
    </row>
    <row r="353" spans="1:14" x14ac:dyDescent="0.4">
      <c r="A353"/>
      <c r="B353"/>
      <c r="C353"/>
      <c r="D353"/>
      <c r="E353"/>
      <c r="F353"/>
      <c r="G353"/>
      <c r="H353"/>
      <c r="I353"/>
      <c r="J353"/>
      <c r="K353"/>
      <c r="L353"/>
      <c r="M353"/>
      <c r="N353"/>
    </row>
    <row r="354" spans="1:14" x14ac:dyDescent="0.4">
      <c r="A354"/>
      <c r="B354"/>
      <c r="C354"/>
      <c r="D354"/>
      <c r="E354"/>
      <c r="F354"/>
      <c r="G354"/>
      <c r="H354"/>
      <c r="I354"/>
      <c r="J354"/>
      <c r="K354"/>
      <c r="L354"/>
      <c r="M354"/>
      <c r="N354"/>
    </row>
    <row r="355" spans="1:14" x14ac:dyDescent="0.4">
      <c r="A355"/>
      <c r="B355"/>
      <c r="C355"/>
      <c r="D355"/>
      <c r="E355"/>
      <c r="F355"/>
      <c r="G355"/>
      <c r="H355"/>
      <c r="I355"/>
      <c r="J355"/>
      <c r="K355"/>
      <c r="L355"/>
      <c r="M355"/>
      <c r="N355"/>
    </row>
    <row r="356" spans="1:14" x14ac:dyDescent="0.4">
      <c r="A356"/>
      <c r="B356"/>
      <c r="C356"/>
      <c r="D356"/>
      <c r="E356"/>
      <c r="F356"/>
      <c r="G356"/>
      <c r="H356"/>
      <c r="I356"/>
      <c r="J356"/>
      <c r="K356"/>
      <c r="L356"/>
      <c r="M356"/>
      <c r="N356"/>
    </row>
    <row r="357" spans="1:14" x14ac:dyDescent="0.4">
      <c r="A357"/>
      <c r="B357"/>
      <c r="C357"/>
      <c r="D357"/>
      <c r="E357"/>
      <c r="F357"/>
      <c r="G357"/>
      <c r="H357"/>
      <c r="I357"/>
      <c r="J357"/>
      <c r="K357"/>
      <c r="L357"/>
      <c r="M357"/>
      <c r="N357"/>
    </row>
    <row r="358" spans="1:14" x14ac:dyDescent="0.4">
      <c r="A358"/>
      <c r="B358"/>
      <c r="C358"/>
      <c r="D358"/>
      <c r="E358"/>
      <c r="F358"/>
      <c r="G358"/>
      <c r="H358"/>
      <c r="I358"/>
      <c r="J358"/>
      <c r="K358"/>
      <c r="L358"/>
      <c r="M358"/>
      <c r="N358"/>
    </row>
    <row r="359" spans="1:14" x14ac:dyDescent="0.4">
      <c r="A359"/>
      <c r="B359"/>
      <c r="C359"/>
      <c r="D359"/>
      <c r="E359"/>
      <c r="F359"/>
      <c r="G359"/>
      <c r="H359"/>
      <c r="I359"/>
      <c r="J359"/>
      <c r="K359"/>
      <c r="L359"/>
      <c r="M359"/>
      <c r="N359"/>
    </row>
    <row r="360" spans="1:14" x14ac:dyDescent="0.4">
      <c r="A360"/>
      <c r="B360"/>
      <c r="C360"/>
      <c r="D360"/>
      <c r="E360"/>
      <c r="F360"/>
      <c r="G360"/>
      <c r="H360"/>
      <c r="I360"/>
      <c r="J360"/>
      <c r="K360"/>
      <c r="L360"/>
      <c r="M360"/>
      <c r="N360"/>
    </row>
    <row r="361" spans="1:14" x14ac:dyDescent="0.4">
      <c r="A361"/>
      <c r="B361"/>
      <c r="C361"/>
      <c r="D361"/>
      <c r="E361"/>
      <c r="F361"/>
      <c r="G361"/>
      <c r="H361"/>
      <c r="I361"/>
      <c r="J361"/>
      <c r="K361"/>
      <c r="L361"/>
      <c r="M361"/>
      <c r="N361"/>
    </row>
    <row r="362" spans="1:14" x14ac:dyDescent="0.4">
      <c r="A362"/>
      <c r="B362"/>
      <c r="C362"/>
      <c r="D362"/>
      <c r="E362"/>
      <c r="F362"/>
      <c r="G362"/>
      <c r="H362"/>
      <c r="I362"/>
      <c r="J362"/>
      <c r="K362"/>
      <c r="L362"/>
      <c r="M362"/>
      <c r="N362"/>
    </row>
    <row r="363" spans="1:14" x14ac:dyDescent="0.4">
      <c r="A363"/>
      <c r="B363"/>
      <c r="C363"/>
      <c r="D363"/>
      <c r="E363"/>
      <c r="F363"/>
      <c r="G363"/>
      <c r="H363"/>
      <c r="I363"/>
      <c r="J363"/>
      <c r="K363"/>
      <c r="L363"/>
      <c r="M363"/>
      <c r="N363"/>
    </row>
    <row r="364" spans="1:14" x14ac:dyDescent="0.4">
      <c r="A364"/>
      <c r="B364"/>
      <c r="C364"/>
      <c r="D364"/>
      <c r="E364"/>
      <c r="F364"/>
      <c r="G364"/>
      <c r="H364"/>
      <c r="I364"/>
      <c r="J364"/>
      <c r="K364"/>
      <c r="L364"/>
      <c r="M364"/>
      <c r="N364"/>
    </row>
    <row r="365" spans="1:14" x14ac:dyDescent="0.4">
      <c r="A365"/>
      <c r="B365"/>
      <c r="C365"/>
      <c r="D365"/>
      <c r="E365"/>
      <c r="F365"/>
      <c r="G365"/>
      <c r="H365"/>
      <c r="I365"/>
      <c r="J365"/>
      <c r="K365"/>
      <c r="L365"/>
      <c r="M365"/>
      <c r="N365"/>
    </row>
    <row r="366" spans="1:14" x14ac:dyDescent="0.4">
      <c r="A366"/>
      <c r="B366"/>
      <c r="C366"/>
      <c r="D366"/>
      <c r="E366"/>
      <c r="F366"/>
      <c r="G366"/>
      <c r="H366"/>
      <c r="I366"/>
      <c r="J366"/>
      <c r="K366"/>
      <c r="L366"/>
      <c r="M366"/>
      <c r="N366"/>
    </row>
    <row r="367" spans="1:14" x14ac:dyDescent="0.4">
      <c r="A367"/>
      <c r="B367"/>
      <c r="C367"/>
      <c r="D367"/>
      <c r="E367"/>
      <c r="F367"/>
      <c r="G367"/>
      <c r="H367"/>
      <c r="I367"/>
      <c r="J367"/>
      <c r="K367"/>
      <c r="L367"/>
      <c r="M367"/>
      <c r="N367"/>
    </row>
    <row r="368" spans="1:14" x14ac:dyDescent="0.4">
      <c r="A368"/>
      <c r="B368"/>
      <c r="C368"/>
      <c r="D368"/>
      <c r="E368"/>
      <c r="F368"/>
      <c r="G368"/>
      <c r="H368"/>
      <c r="I368"/>
      <c r="J368"/>
      <c r="K368"/>
      <c r="L368"/>
      <c r="M368"/>
      <c r="N368"/>
    </row>
    <row r="369" spans="1:14" x14ac:dyDescent="0.4">
      <c r="A369"/>
      <c r="B369"/>
      <c r="C369"/>
      <c r="D369"/>
      <c r="E369"/>
      <c r="F369"/>
      <c r="G369"/>
      <c r="H369"/>
      <c r="I369"/>
      <c r="J369"/>
      <c r="K369"/>
      <c r="L369"/>
      <c r="M369"/>
      <c r="N369"/>
    </row>
    <row r="370" spans="1:14" x14ac:dyDescent="0.4">
      <c r="A370"/>
      <c r="B370"/>
      <c r="C370"/>
      <c r="D370"/>
      <c r="E370"/>
      <c r="F370"/>
      <c r="G370"/>
      <c r="H370"/>
      <c r="I370"/>
      <c r="J370"/>
      <c r="K370"/>
      <c r="L370"/>
      <c r="M370"/>
      <c r="N370"/>
    </row>
    <row r="371" spans="1:14" x14ac:dyDescent="0.4">
      <c r="A371"/>
      <c r="B371"/>
      <c r="C371"/>
      <c r="D371"/>
      <c r="E371"/>
      <c r="F371"/>
      <c r="G371"/>
      <c r="H371"/>
      <c r="I371"/>
      <c r="J371"/>
      <c r="K371"/>
      <c r="L371"/>
      <c r="M371"/>
      <c r="N371"/>
    </row>
    <row r="372" spans="1:14" x14ac:dyDescent="0.4">
      <c r="A372"/>
      <c r="B372"/>
      <c r="C372"/>
      <c r="D372"/>
      <c r="E372"/>
      <c r="F372"/>
      <c r="G372"/>
      <c r="H372"/>
      <c r="I372"/>
      <c r="J372"/>
      <c r="K372"/>
      <c r="L372"/>
      <c r="M372"/>
      <c r="N372"/>
    </row>
    <row r="373" spans="1:14" x14ac:dyDescent="0.4">
      <c r="A373"/>
      <c r="B373"/>
      <c r="C373"/>
      <c r="D373"/>
      <c r="E373"/>
      <c r="F373"/>
      <c r="G373"/>
      <c r="H373"/>
      <c r="I373"/>
      <c r="J373"/>
      <c r="K373"/>
      <c r="L373"/>
      <c r="M373"/>
      <c r="N373"/>
    </row>
    <row r="374" spans="1:14" x14ac:dyDescent="0.4">
      <c r="A374"/>
      <c r="B374"/>
      <c r="C374"/>
      <c r="D374"/>
      <c r="E374"/>
      <c r="F374"/>
      <c r="G374"/>
      <c r="H374"/>
      <c r="I374"/>
      <c r="J374"/>
      <c r="K374"/>
      <c r="L374"/>
      <c r="M374"/>
      <c r="N374"/>
    </row>
    <row r="375" spans="1:14" x14ac:dyDescent="0.4">
      <c r="A375"/>
      <c r="B375"/>
      <c r="C375"/>
      <c r="D375"/>
      <c r="E375"/>
      <c r="F375"/>
      <c r="G375"/>
      <c r="H375"/>
      <c r="I375"/>
      <c r="J375"/>
      <c r="K375"/>
      <c r="L375"/>
      <c r="M375"/>
      <c r="N375"/>
    </row>
    <row r="376" spans="1:14" x14ac:dyDescent="0.4">
      <c r="A376"/>
      <c r="B376"/>
      <c r="C376"/>
      <c r="D376"/>
      <c r="E376"/>
      <c r="F376"/>
      <c r="G376"/>
      <c r="H376"/>
      <c r="I376"/>
      <c r="J376"/>
      <c r="K376"/>
      <c r="L376"/>
      <c r="M376"/>
      <c r="N376"/>
    </row>
    <row r="377" spans="1:14" x14ac:dyDescent="0.4">
      <c r="A377"/>
      <c r="B377"/>
      <c r="C377"/>
      <c r="D377"/>
      <c r="E377"/>
      <c r="F377"/>
      <c r="G377"/>
      <c r="H377"/>
      <c r="I377"/>
      <c r="J377"/>
      <c r="K377"/>
      <c r="L377"/>
      <c r="M377"/>
      <c r="N377"/>
    </row>
    <row r="378" spans="1:14" x14ac:dyDescent="0.4">
      <c r="A378"/>
      <c r="B378"/>
      <c r="C378"/>
      <c r="D378"/>
      <c r="E378"/>
      <c r="F378"/>
      <c r="G378"/>
      <c r="H378"/>
      <c r="I378"/>
      <c r="J378"/>
      <c r="K378"/>
      <c r="L378"/>
      <c r="M378"/>
      <c r="N378"/>
    </row>
    <row r="379" spans="1:14" x14ac:dyDescent="0.4">
      <c r="A379"/>
      <c r="B379"/>
      <c r="C379"/>
      <c r="D379"/>
      <c r="E379"/>
      <c r="F379"/>
      <c r="G379"/>
      <c r="H379"/>
      <c r="I379"/>
      <c r="J379"/>
      <c r="K379"/>
      <c r="L379"/>
      <c r="M379"/>
      <c r="N379"/>
    </row>
    <row r="380" spans="1:14" x14ac:dyDescent="0.4">
      <c r="A380"/>
      <c r="B380"/>
      <c r="C380"/>
      <c r="D380"/>
      <c r="E380"/>
      <c r="F380"/>
      <c r="G380"/>
      <c r="H380"/>
      <c r="I380"/>
      <c r="J380"/>
      <c r="K380"/>
      <c r="L380"/>
      <c r="M380"/>
      <c r="N380"/>
    </row>
    <row r="381" spans="1:14" x14ac:dyDescent="0.4">
      <c r="A381"/>
      <c r="B381"/>
      <c r="C381"/>
      <c r="D381"/>
      <c r="E381"/>
      <c r="F381"/>
      <c r="G381"/>
      <c r="H381"/>
      <c r="I381"/>
      <c r="J381"/>
      <c r="K381"/>
      <c r="L381"/>
      <c r="M381"/>
      <c r="N381"/>
    </row>
    <row r="382" spans="1:14" x14ac:dyDescent="0.4">
      <c r="A382"/>
      <c r="B382"/>
      <c r="C382"/>
      <c r="D382"/>
      <c r="E382"/>
      <c r="F382"/>
      <c r="G382"/>
      <c r="H382"/>
      <c r="I382"/>
      <c r="J382"/>
      <c r="K382"/>
      <c r="L382"/>
      <c r="M382"/>
      <c r="N382"/>
    </row>
    <row r="383" spans="1:14" x14ac:dyDescent="0.4">
      <c r="A383"/>
      <c r="B383"/>
      <c r="C383"/>
      <c r="D383"/>
      <c r="E383"/>
      <c r="F383"/>
      <c r="G383"/>
      <c r="H383"/>
      <c r="I383"/>
      <c r="J383"/>
      <c r="K383"/>
      <c r="L383"/>
      <c r="M383"/>
      <c r="N383"/>
    </row>
    <row r="384" spans="1:14" x14ac:dyDescent="0.4">
      <c r="A384"/>
      <c r="B384"/>
      <c r="C384"/>
      <c r="D384"/>
      <c r="E384"/>
      <c r="F384"/>
      <c r="G384"/>
      <c r="H384"/>
      <c r="I384"/>
      <c r="J384"/>
      <c r="K384"/>
      <c r="L384"/>
      <c r="M384"/>
      <c r="N384"/>
    </row>
    <row r="385" spans="1:14" x14ac:dyDescent="0.4">
      <c r="A385"/>
      <c r="B385"/>
      <c r="C385"/>
      <c r="D385"/>
      <c r="E385"/>
      <c r="F385"/>
      <c r="G385"/>
      <c r="H385"/>
      <c r="I385"/>
      <c r="J385"/>
      <c r="K385"/>
      <c r="L385"/>
      <c r="M385"/>
      <c r="N385"/>
    </row>
    <row r="386" spans="1:14" x14ac:dyDescent="0.4">
      <c r="A386"/>
      <c r="B386"/>
      <c r="C386"/>
      <c r="D386"/>
      <c r="E386"/>
      <c r="F386"/>
      <c r="G386"/>
      <c r="H386"/>
      <c r="I386"/>
      <c r="J386"/>
      <c r="K386"/>
      <c r="L386"/>
      <c r="M386"/>
      <c r="N386"/>
    </row>
    <row r="387" spans="1:14" x14ac:dyDescent="0.4">
      <c r="A387"/>
      <c r="B387"/>
      <c r="C387"/>
      <c r="D387"/>
      <c r="E387"/>
      <c r="F387"/>
      <c r="G387"/>
      <c r="H387"/>
      <c r="I387"/>
      <c r="J387"/>
      <c r="K387"/>
      <c r="L387"/>
      <c r="M387"/>
      <c r="N387"/>
    </row>
    <row r="388" spans="1:14" x14ac:dyDescent="0.4">
      <c r="A388"/>
      <c r="B388"/>
      <c r="C388"/>
      <c r="D388"/>
      <c r="E388"/>
      <c r="F388"/>
      <c r="G388"/>
      <c r="H388"/>
      <c r="I388"/>
      <c r="J388"/>
      <c r="K388"/>
      <c r="L388"/>
      <c r="M388"/>
      <c r="N388"/>
    </row>
    <row r="389" spans="1:14" x14ac:dyDescent="0.4">
      <c r="A389"/>
      <c r="B389"/>
      <c r="C389"/>
      <c r="D389"/>
      <c r="E389"/>
      <c r="F389"/>
      <c r="G389"/>
      <c r="H389"/>
      <c r="I389"/>
      <c r="J389"/>
      <c r="K389"/>
      <c r="L389"/>
      <c r="M389"/>
      <c r="N389"/>
    </row>
    <row r="390" spans="1:14" x14ac:dyDescent="0.4">
      <c r="A390"/>
      <c r="B390"/>
      <c r="C390"/>
      <c r="D390"/>
      <c r="E390"/>
      <c r="F390"/>
      <c r="G390"/>
      <c r="H390"/>
      <c r="I390"/>
      <c r="J390"/>
      <c r="K390"/>
      <c r="L390"/>
      <c r="M390"/>
      <c r="N390"/>
    </row>
    <row r="391" spans="1:14" x14ac:dyDescent="0.4">
      <c r="A391"/>
      <c r="B391"/>
      <c r="C391"/>
      <c r="D391"/>
      <c r="E391"/>
      <c r="F391"/>
      <c r="G391"/>
      <c r="H391"/>
      <c r="I391"/>
      <c r="J391"/>
      <c r="K391"/>
      <c r="L391"/>
      <c r="M391"/>
      <c r="N391"/>
    </row>
    <row r="392" spans="1:14" x14ac:dyDescent="0.4">
      <c r="A392"/>
      <c r="B392"/>
      <c r="C392"/>
      <c r="D392"/>
      <c r="E392"/>
      <c r="F392"/>
      <c r="G392"/>
      <c r="H392"/>
      <c r="I392"/>
      <c r="J392"/>
      <c r="K392"/>
      <c r="L392"/>
      <c r="M392"/>
      <c r="N392"/>
    </row>
    <row r="393" spans="1:14" x14ac:dyDescent="0.4">
      <c r="A393"/>
      <c r="B393"/>
      <c r="C393"/>
      <c r="D393"/>
      <c r="E393"/>
      <c r="F393"/>
      <c r="G393"/>
      <c r="H393"/>
      <c r="I393"/>
      <c r="J393"/>
      <c r="K393"/>
      <c r="L393"/>
      <c r="M393"/>
      <c r="N393"/>
    </row>
    <row r="394" spans="1:14" x14ac:dyDescent="0.4">
      <c r="A394"/>
      <c r="B394"/>
      <c r="C394"/>
      <c r="D394"/>
      <c r="E394"/>
      <c r="F394"/>
      <c r="G394"/>
      <c r="H394"/>
      <c r="I394"/>
      <c r="J394"/>
      <c r="K394"/>
      <c r="L394"/>
      <c r="M394"/>
      <c r="N394"/>
    </row>
    <row r="395" spans="1:14" x14ac:dyDescent="0.4">
      <c r="A395"/>
      <c r="B395"/>
      <c r="C395"/>
      <c r="D395"/>
      <c r="E395"/>
      <c r="F395"/>
      <c r="G395"/>
      <c r="H395"/>
      <c r="I395"/>
      <c r="J395"/>
      <c r="K395"/>
      <c r="L395"/>
      <c r="M395"/>
      <c r="N395"/>
    </row>
    <row r="396" spans="1:14" x14ac:dyDescent="0.4">
      <c r="A396"/>
      <c r="B396"/>
      <c r="C396"/>
      <c r="D396"/>
      <c r="E396"/>
      <c r="F396"/>
      <c r="G396"/>
      <c r="H396"/>
      <c r="I396"/>
      <c r="J396"/>
      <c r="K396"/>
      <c r="L396"/>
      <c r="M396"/>
      <c r="N396"/>
    </row>
    <row r="397" spans="1:14" x14ac:dyDescent="0.4">
      <c r="A397"/>
      <c r="B397"/>
      <c r="C397"/>
      <c r="D397"/>
      <c r="E397"/>
      <c r="F397"/>
      <c r="G397"/>
      <c r="H397"/>
      <c r="I397"/>
      <c r="J397"/>
      <c r="K397"/>
      <c r="L397"/>
      <c r="M397"/>
      <c r="N397"/>
    </row>
    <row r="398" spans="1:14" x14ac:dyDescent="0.4">
      <c r="A398"/>
      <c r="B398"/>
      <c r="C398"/>
      <c r="D398"/>
      <c r="E398"/>
      <c r="F398"/>
      <c r="G398"/>
      <c r="H398"/>
      <c r="I398"/>
      <c r="J398"/>
      <c r="K398"/>
      <c r="L398"/>
      <c r="M398"/>
      <c r="N398"/>
    </row>
    <row r="399" spans="1:14" x14ac:dyDescent="0.4">
      <c r="A399"/>
      <c r="B399"/>
      <c r="C399"/>
      <c r="D399"/>
      <c r="E399"/>
      <c r="F399"/>
      <c r="G399"/>
      <c r="H399"/>
      <c r="I399"/>
      <c r="J399"/>
      <c r="K399"/>
      <c r="L399"/>
      <c r="M399"/>
      <c r="N399"/>
    </row>
    <row r="400" spans="1:14" x14ac:dyDescent="0.4">
      <c r="A400"/>
      <c r="B400"/>
      <c r="C400"/>
      <c r="D400"/>
      <c r="E400"/>
      <c r="F400"/>
      <c r="G400"/>
      <c r="H400"/>
      <c r="I400"/>
      <c r="J400"/>
      <c r="K400"/>
      <c r="L400"/>
      <c r="M400"/>
      <c r="N400"/>
    </row>
    <row r="401" spans="1:14" x14ac:dyDescent="0.4">
      <c r="A401"/>
      <c r="B401"/>
      <c r="C401"/>
      <c r="D401"/>
      <c r="E401"/>
      <c r="F401"/>
      <c r="G401"/>
      <c r="H401"/>
      <c r="I401"/>
      <c r="J401"/>
      <c r="K401"/>
      <c r="L401"/>
      <c r="M401"/>
      <c r="N401"/>
    </row>
    <row r="402" spans="1:14" x14ac:dyDescent="0.4">
      <c r="A402"/>
      <c r="B402"/>
      <c r="C402"/>
      <c r="D402"/>
      <c r="E402"/>
      <c r="F402"/>
      <c r="G402"/>
      <c r="H402"/>
      <c r="I402"/>
      <c r="J402"/>
      <c r="K402"/>
      <c r="L402"/>
      <c r="M402"/>
      <c r="N402"/>
    </row>
    <row r="403" spans="1:14" x14ac:dyDescent="0.4">
      <c r="A403"/>
      <c r="B403"/>
      <c r="C403"/>
      <c r="D403"/>
      <c r="E403"/>
      <c r="F403"/>
      <c r="G403"/>
      <c r="H403"/>
      <c r="I403"/>
      <c r="J403"/>
      <c r="K403"/>
      <c r="L403"/>
      <c r="M403"/>
      <c r="N403"/>
    </row>
    <row r="404" spans="1:14" x14ac:dyDescent="0.4">
      <c r="A404"/>
      <c r="B404"/>
      <c r="C404"/>
      <c r="D404"/>
      <c r="E404"/>
      <c r="F404"/>
      <c r="G404"/>
      <c r="H404"/>
      <c r="I404"/>
      <c r="J404"/>
      <c r="K404"/>
      <c r="L404"/>
      <c r="M404"/>
      <c r="N404"/>
    </row>
    <row r="405" spans="1:14" x14ac:dyDescent="0.4">
      <c r="A405"/>
      <c r="B405"/>
      <c r="C405"/>
      <c r="D405"/>
      <c r="E405"/>
      <c r="F405"/>
      <c r="G405"/>
      <c r="H405"/>
      <c r="I405"/>
      <c r="J405"/>
      <c r="K405"/>
      <c r="L405"/>
      <c r="M405"/>
      <c r="N405"/>
    </row>
    <row r="406" spans="1:14" x14ac:dyDescent="0.4">
      <c r="A406"/>
      <c r="B406"/>
      <c r="C406"/>
      <c r="D406"/>
      <c r="E406"/>
      <c r="F406"/>
      <c r="G406"/>
      <c r="H406"/>
      <c r="I406"/>
      <c r="J406"/>
      <c r="K406"/>
      <c r="L406"/>
      <c r="M406"/>
      <c r="N406"/>
    </row>
    <row r="407" spans="1:14" x14ac:dyDescent="0.4">
      <c r="A407"/>
      <c r="B407"/>
      <c r="C407"/>
      <c r="D407"/>
      <c r="E407"/>
      <c r="F407"/>
      <c r="G407"/>
      <c r="H407"/>
      <c r="I407"/>
      <c r="J407"/>
      <c r="K407"/>
      <c r="L407"/>
      <c r="M407"/>
      <c r="N407"/>
    </row>
    <row r="408" spans="1:14" x14ac:dyDescent="0.4">
      <c r="A408"/>
      <c r="B408"/>
      <c r="C408"/>
      <c r="D408"/>
      <c r="E408"/>
      <c r="F408"/>
      <c r="G408"/>
      <c r="H408"/>
      <c r="I408"/>
      <c r="J408"/>
      <c r="K408"/>
      <c r="L408"/>
      <c r="M408"/>
      <c r="N408"/>
    </row>
    <row r="409" spans="1:14" x14ac:dyDescent="0.4">
      <c r="A409"/>
      <c r="B409"/>
      <c r="C409"/>
      <c r="D409"/>
      <c r="E409"/>
      <c r="F409"/>
      <c r="G409"/>
      <c r="H409"/>
      <c r="I409"/>
      <c r="J409"/>
      <c r="K409"/>
      <c r="L409"/>
      <c r="M409"/>
      <c r="N409"/>
    </row>
    <row r="410" spans="1:14" x14ac:dyDescent="0.4">
      <c r="A410"/>
      <c r="B410"/>
      <c r="C410"/>
      <c r="D410"/>
      <c r="E410"/>
      <c r="F410"/>
      <c r="G410"/>
      <c r="H410"/>
      <c r="I410"/>
      <c r="J410"/>
      <c r="K410"/>
      <c r="L410"/>
      <c r="M410"/>
      <c r="N410"/>
    </row>
    <row r="411" spans="1:14" x14ac:dyDescent="0.4">
      <c r="A411"/>
      <c r="B411"/>
      <c r="C411"/>
      <c r="D411"/>
      <c r="E411"/>
      <c r="F411"/>
      <c r="G411"/>
      <c r="H411"/>
      <c r="I411"/>
      <c r="J411"/>
      <c r="K411"/>
      <c r="L411"/>
      <c r="M411"/>
      <c r="N411"/>
    </row>
    <row r="412" spans="1:14" x14ac:dyDescent="0.4">
      <c r="A412"/>
      <c r="B412"/>
      <c r="C412"/>
      <c r="D412"/>
      <c r="E412"/>
      <c r="F412"/>
      <c r="G412"/>
      <c r="H412"/>
      <c r="I412"/>
      <c r="J412"/>
      <c r="K412"/>
      <c r="L412"/>
      <c r="M412"/>
      <c r="N412"/>
    </row>
    <row r="413" spans="1:14" x14ac:dyDescent="0.4">
      <c r="A413"/>
      <c r="B413"/>
      <c r="C413"/>
      <c r="D413"/>
      <c r="E413"/>
      <c r="F413"/>
      <c r="G413"/>
      <c r="H413"/>
      <c r="I413"/>
      <c r="J413"/>
      <c r="K413"/>
      <c r="L413"/>
      <c r="M413"/>
      <c r="N413"/>
    </row>
    <row r="414" spans="1:14" x14ac:dyDescent="0.4">
      <c r="A414"/>
      <c r="B414"/>
      <c r="C414"/>
      <c r="D414"/>
      <c r="E414"/>
      <c r="F414"/>
      <c r="G414"/>
      <c r="H414"/>
      <c r="I414"/>
      <c r="J414"/>
      <c r="K414"/>
      <c r="L414"/>
      <c r="M414"/>
      <c r="N414"/>
    </row>
    <row r="415" spans="1:14" x14ac:dyDescent="0.4">
      <c r="A415"/>
      <c r="B415"/>
      <c r="C415"/>
      <c r="D415"/>
      <c r="E415"/>
      <c r="F415"/>
      <c r="G415"/>
      <c r="H415"/>
      <c r="I415"/>
      <c r="J415"/>
      <c r="K415"/>
      <c r="L415"/>
      <c r="M415"/>
      <c r="N415"/>
    </row>
    <row r="416" spans="1:14" x14ac:dyDescent="0.4">
      <c r="A416"/>
      <c r="B416"/>
      <c r="C416"/>
      <c r="D416"/>
      <c r="E416"/>
      <c r="F416"/>
      <c r="G416"/>
      <c r="H416"/>
      <c r="I416"/>
      <c r="J416"/>
      <c r="K416"/>
      <c r="L416"/>
      <c r="M416"/>
      <c r="N416"/>
    </row>
    <row r="417" spans="1:14" x14ac:dyDescent="0.4">
      <c r="A417"/>
      <c r="B417"/>
      <c r="C417"/>
      <c r="D417"/>
      <c r="E417"/>
      <c r="F417"/>
      <c r="G417"/>
      <c r="H417"/>
      <c r="I417"/>
      <c r="J417"/>
      <c r="K417"/>
      <c r="L417"/>
      <c r="M417"/>
      <c r="N417"/>
    </row>
    <row r="418" spans="1:14" x14ac:dyDescent="0.4">
      <c r="A418"/>
      <c r="B418"/>
      <c r="C418"/>
      <c r="D418"/>
      <c r="E418"/>
      <c r="F418"/>
      <c r="G418"/>
      <c r="H418"/>
      <c r="I418"/>
      <c r="J418"/>
      <c r="K418"/>
      <c r="L418"/>
      <c r="M418"/>
      <c r="N418"/>
    </row>
    <row r="419" spans="1:14" x14ac:dyDescent="0.4">
      <c r="A419"/>
      <c r="B419"/>
      <c r="C419"/>
      <c r="D419"/>
      <c r="E419"/>
      <c r="F419"/>
      <c r="G419"/>
      <c r="H419"/>
      <c r="I419"/>
      <c r="J419"/>
      <c r="K419"/>
      <c r="L419"/>
      <c r="M419"/>
      <c r="N419"/>
    </row>
    <row r="420" spans="1:14" x14ac:dyDescent="0.4">
      <c r="A420"/>
      <c r="B420"/>
      <c r="C420"/>
      <c r="D420"/>
      <c r="E420"/>
      <c r="F420"/>
      <c r="G420"/>
      <c r="H420"/>
      <c r="I420"/>
      <c r="J420"/>
      <c r="K420"/>
      <c r="L420"/>
      <c r="M420"/>
      <c r="N420"/>
    </row>
    <row r="421" spans="1:14" x14ac:dyDescent="0.4">
      <c r="A421"/>
      <c r="B421"/>
      <c r="C421"/>
      <c r="D421"/>
      <c r="E421"/>
      <c r="F421"/>
      <c r="G421"/>
      <c r="H421"/>
      <c r="I421"/>
      <c r="J421"/>
      <c r="K421"/>
      <c r="L421"/>
      <c r="M421"/>
      <c r="N421"/>
    </row>
    <row r="422" spans="1:14" x14ac:dyDescent="0.4">
      <c r="A422"/>
      <c r="B422"/>
      <c r="C422"/>
      <c r="D422"/>
      <c r="E422"/>
      <c r="F422"/>
      <c r="G422"/>
      <c r="H422"/>
      <c r="I422"/>
      <c r="J422"/>
      <c r="K422"/>
      <c r="L422"/>
      <c r="M422"/>
      <c r="N422"/>
    </row>
    <row r="423" spans="1:14" x14ac:dyDescent="0.4">
      <c r="A423"/>
      <c r="B423"/>
      <c r="C423"/>
      <c r="D423"/>
      <c r="E423"/>
      <c r="F423"/>
      <c r="G423"/>
      <c r="H423"/>
      <c r="I423"/>
      <c r="J423"/>
      <c r="K423"/>
      <c r="L423"/>
      <c r="M423"/>
      <c r="N423"/>
    </row>
    <row r="424" spans="1:14" x14ac:dyDescent="0.4">
      <c r="A424"/>
      <c r="B424"/>
      <c r="C424"/>
      <c r="D424"/>
      <c r="E424"/>
      <c r="F424"/>
      <c r="G424"/>
      <c r="H424"/>
      <c r="I424"/>
      <c r="J424"/>
      <c r="K424"/>
      <c r="L424"/>
      <c r="M424"/>
      <c r="N424"/>
    </row>
    <row r="425" spans="1:14" x14ac:dyDescent="0.4">
      <c r="A425"/>
      <c r="B425"/>
      <c r="C425"/>
      <c r="D425"/>
      <c r="E425"/>
      <c r="F425"/>
      <c r="G425"/>
      <c r="H425"/>
      <c r="I425"/>
      <c r="J425"/>
      <c r="K425"/>
      <c r="L425"/>
      <c r="M425"/>
      <c r="N425"/>
    </row>
    <row r="426" spans="1:14" x14ac:dyDescent="0.4">
      <c r="A426"/>
      <c r="B426"/>
      <c r="C426"/>
      <c r="D426"/>
      <c r="E426"/>
      <c r="F426"/>
      <c r="G426"/>
      <c r="H426"/>
      <c r="I426"/>
      <c r="J426"/>
      <c r="K426"/>
      <c r="L426"/>
      <c r="M426"/>
      <c r="N426"/>
    </row>
    <row r="427" spans="1:14" x14ac:dyDescent="0.4">
      <c r="A427"/>
      <c r="B427"/>
      <c r="C427"/>
      <c r="D427"/>
      <c r="E427"/>
      <c r="F427"/>
      <c r="G427"/>
      <c r="H427"/>
      <c r="I427"/>
      <c r="J427"/>
      <c r="K427"/>
      <c r="L427"/>
      <c r="M427"/>
      <c r="N427"/>
    </row>
    <row r="428" spans="1:14" x14ac:dyDescent="0.4">
      <c r="A428"/>
      <c r="B428"/>
      <c r="C428"/>
      <c r="D428"/>
      <c r="E428"/>
      <c r="F428"/>
      <c r="G428"/>
      <c r="H428"/>
      <c r="I428"/>
      <c r="J428"/>
      <c r="K428"/>
      <c r="L428"/>
      <c r="M428"/>
      <c r="N428"/>
    </row>
    <row r="429" spans="1:14" x14ac:dyDescent="0.4">
      <c r="A429"/>
      <c r="B429"/>
      <c r="C429"/>
      <c r="D429"/>
      <c r="E429"/>
      <c r="F429"/>
      <c r="G429"/>
      <c r="H429"/>
      <c r="I429"/>
      <c r="J429"/>
      <c r="K429"/>
      <c r="L429"/>
      <c r="M429"/>
      <c r="N429"/>
    </row>
    <row r="430" spans="1:14" x14ac:dyDescent="0.4">
      <c r="A430"/>
      <c r="B430"/>
      <c r="C430"/>
      <c r="D430"/>
      <c r="E430"/>
      <c r="F430"/>
      <c r="G430"/>
      <c r="H430"/>
      <c r="I430"/>
      <c r="J430"/>
      <c r="K430"/>
      <c r="L430"/>
      <c r="M430"/>
      <c r="N430"/>
    </row>
    <row r="431" spans="1:14" x14ac:dyDescent="0.4">
      <c r="A431"/>
      <c r="B431"/>
      <c r="C431"/>
      <c r="D431"/>
      <c r="E431"/>
      <c r="F431"/>
      <c r="G431"/>
      <c r="H431"/>
      <c r="I431"/>
      <c r="J431"/>
      <c r="K431"/>
      <c r="L431"/>
      <c r="M431"/>
      <c r="N431"/>
    </row>
    <row r="432" spans="1:14" x14ac:dyDescent="0.4">
      <c r="A432"/>
      <c r="B432"/>
      <c r="C432"/>
      <c r="D432"/>
      <c r="E432"/>
      <c r="F432"/>
      <c r="G432"/>
      <c r="H432"/>
      <c r="I432"/>
      <c r="J432"/>
      <c r="K432"/>
      <c r="L432"/>
      <c r="M432"/>
      <c r="N432"/>
    </row>
    <row r="433" spans="1:14" x14ac:dyDescent="0.4">
      <c r="A433"/>
      <c r="B433"/>
      <c r="C433"/>
      <c r="D433"/>
      <c r="E433"/>
      <c r="F433"/>
      <c r="G433"/>
      <c r="H433"/>
      <c r="I433"/>
      <c r="J433"/>
      <c r="K433"/>
      <c r="L433"/>
      <c r="M433"/>
      <c r="N433"/>
    </row>
    <row r="434" spans="1:14" x14ac:dyDescent="0.4">
      <c r="A434"/>
      <c r="B434"/>
      <c r="C434"/>
      <c r="D434"/>
      <c r="E434"/>
      <c r="F434"/>
      <c r="G434"/>
      <c r="H434"/>
      <c r="I434"/>
      <c r="J434"/>
      <c r="K434"/>
      <c r="L434"/>
      <c r="M434"/>
      <c r="N434"/>
    </row>
    <row r="435" spans="1:14" x14ac:dyDescent="0.4">
      <c r="A435"/>
      <c r="B435"/>
      <c r="C435"/>
      <c r="D435"/>
      <c r="E435"/>
      <c r="F435"/>
      <c r="G435"/>
      <c r="H435"/>
      <c r="I435"/>
      <c r="J435"/>
      <c r="K435"/>
      <c r="L435"/>
      <c r="M435"/>
      <c r="N435"/>
    </row>
    <row r="436" spans="1:14" x14ac:dyDescent="0.4">
      <c r="A436"/>
      <c r="B436"/>
      <c r="C436"/>
      <c r="D436"/>
      <c r="E436"/>
      <c r="F436"/>
      <c r="G436"/>
      <c r="H436"/>
      <c r="I436"/>
      <c r="J436"/>
      <c r="K436"/>
      <c r="L436"/>
      <c r="M436"/>
      <c r="N436"/>
    </row>
    <row r="437" spans="1:14" x14ac:dyDescent="0.4">
      <c r="A437"/>
      <c r="B437"/>
      <c r="C437"/>
      <c r="D437"/>
      <c r="E437"/>
      <c r="F437"/>
      <c r="G437"/>
      <c r="H437"/>
      <c r="I437"/>
      <c r="J437"/>
      <c r="K437"/>
      <c r="L437"/>
      <c r="M437"/>
      <c r="N437"/>
    </row>
    <row r="438" spans="1:14" x14ac:dyDescent="0.4">
      <c r="A438"/>
      <c r="B438"/>
      <c r="C438"/>
      <c r="D438"/>
      <c r="E438"/>
      <c r="F438"/>
      <c r="G438"/>
      <c r="H438"/>
      <c r="I438"/>
      <c r="J438"/>
      <c r="K438"/>
      <c r="L438"/>
      <c r="M438"/>
      <c r="N438"/>
    </row>
    <row r="439" spans="1:14" x14ac:dyDescent="0.4">
      <c r="A439"/>
      <c r="B439"/>
      <c r="C439"/>
      <c r="D439"/>
      <c r="E439"/>
      <c r="F439"/>
      <c r="G439"/>
      <c r="H439"/>
      <c r="I439"/>
      <c r="J439"/>
      <c r="K439"/>
      <c r="L439"/>
      <c r="M439"/>
      <c r="N439"/>
    </row>
    <row r="440" spans="1:14" x14ac:dyDescent="0.4">
      <c r="A440"/>
      <c r="B440"/>
      <c r="C440"/>
      <c r="D440"/>
      <c r="E440"/>
      <c r="F440"/>
      <c r="G440"/>
      <c r="H440"/>
      <c r="I440"/>
      <c r="J440"/>
      <c r="K440"/>
      <c r="L440"/>
      <c r="M440"/>
      <c r="N440"/>
    </row>
    <row r="441" spans="1:14" x14ac:dyDescent="0.4">
      <c r="A441"/>
      <c r="B441"/>
      <c r="C441"/>
      <c r="D441"/>
      <c r="E441"/>
      <c r="F441"/>
      <c r="G441"/>
      <c r="H441"/>
      <c r="I441"/>
      <c r="J441"/>
      <c r="K441"/>
      <c r="L441"/>
      <c r="M441"/>
      <c r="N441"/>
    </row>
    <row r="442" spans="1:14" x14ac:dyDescent="0.4">
      <c r="A442"/>
      <c r="B442"/>
      <c r="C442"/>
      <c r="D442"/>
      <c r="E442"/>
      <c r="F442"/>
      <c r="G442"/>
      <c r="H442"/>
      <c r="I442"/>
      <c r="J442"/>
      <c r="K442"/>
      <c r="L442"/>
      <c r="M442"/>
      <c r="N442"/>
    </row>
    <row r="443" spans="1:14" x14ac:dyDescent="0.4">
      <c r="A443"/>
      <c r="B443"/>
      <c r="C443"/>
      <c r="D443"/>
      <c r="E443"/>
      <c r="F443"/>
      <c r="G443"/>
      <c r="H443"/>
      <c r="I443"/>
      <c r="J443"/>
      <c r="K443"/>
      <c r="L443"/>
      <c r="M443"/>
      <c r="N443"/>
    </row>
    <row r="444" spans="1:14" x14ac:dyDescent="0.4">
      <c r="A444"/>
      <c r="B444"/>
      <c r="C444"/>
      <c r="D444"/>
      <c r="E444"/>
      <c r="F444"/>
      <c r="G444"/>
      <c r="H444"/>
      <c r="I444"/>
      <c r="J444"/>
      <c r="K444"/>
      <c r="L444"/>
      <c r="M444"/>
      <c r="N444"/>
    </row>
    <row r="445" spans="1:14" x14ac:dyDescent="0.4">
      <c r="A445"/>
      <c r="B445"/>
      <c r="C445"/>
      <c r="D445"/>
      <c r="E445"/>
      <c r="F445"/>
      <c r="G445"/>
      <c r="H445"/>
      <c r="I445"/>
      <c r="J445"/>
      <c r="K445"/>
      <c r="L445"/>
      <c r="M445"/>
      <c r="N445"/>
    </row>
    <row r="446" spans="1:14" x14ac:dyDescent="0.4">
      <c r="A446"/>
      <c r="B446"/>
      <c r="C446"/>
      <c r="D446"/>
      <c r="E446"/>
      <c r="F446"/>
      <c r="G446"/>
      <c r="H446"/>
      <c r="I446"/>
      <c r="J446"/>
      <c r="K446"/>
      <c r="L446"/>
      <c r="M446"/>
      <c r="N446"/>
    </row>
    <row r="447" spans="1:14" x14ac:dyDescent="0.4">
      <c r="A447"/>
      <c r="B447"/>
      <c r="C447"/>
      <c r="D447"/>
      <c r="E447"/>
      <c r="F447"/>
      <c r="G447"/>
      <c r="H447"/>
      <c r="I447"/>
      <c r="J447"/>
      <c r="K447"/>
      <c r="L447"/>
      <c r="M447"/>
      <c r="N447"/>
    </row>
    <row r="448" spans="1:14" x14ac:dyDescent="0.4">
      <c r="A448"/>
      <c r="B448"/>
      <c r="C448"/>
      <c r="D448"/>
      <c r="E448"/>
      <c r="F448"/>
      <c r="G448"/>
      <c r="H448"/>
      <c r="I448"/>
      <c r="J448"/>
      <c r="K448"/>
      <c r="L448"/>
      <c r="M448"/>
      <c r="N448"/>
    </row>
    <row r="449" spans="1:14" x14ac:dyDescent="0.4">
      <c r="A449"/>
      <c r="B449"/>
      <c r="C449"/>
      <c r="D449"/>
      <c r="E449"/>
      <c r="F449"/>
      <c r="G449"/>
      <c r="H449"/>
      <c r="I449"/>
      <c r="J449"/>
      <c r="K449"/>
      <c r="L449"/>
      <c r="M449"/>
      <c r="N449"/>
    </row>
    <row r="450" spans="1:14" x14ac:dyDescent="0.4">
      <c r="A450"/>
      <c r="B450"/>
      <c r="C450"/>
      <c r="D450"/>
      <c r="E450"/>
      <c r="F450"/>
      <c r="G450"/>
      <c r="H450"/>
      <c r="I450"/>
      <c r="J450"/>
      <c r="K450"/>
      <c r="L450"/>
      <c r="M450"/>
      <c r="N450"/>
    </row>
    <row r="451" spans="1:14" x14ac:dyDescent="0.4">
      <c r="A451"/>
      <c r="B451"/>
      <c r="C451"/>
      <c r="D451"/>
      <c r="E451"/>
      <c r="F451"/>
      <c r="G451"/>
      <c r="H451"/>
      <c r="I451"/>
      <c r="J451"/>
      <c r="K451"/>
      <c r="L451"/>
      <c r="M451"/>
      <c r="N451"/>
    </row>
    <row r="452" spans="1:14" x14ac:dyDescent="0.4">
      <c r="A452"/>
      <c r="B452"/>
      <c r="C452"/>
      <c r="D452"/>
      <c r="E452"/>
      <c r="F452"/>
      <c r="G452"/>
      <c r="H452"/>
      <c r="I452"/>
      <c r="J452"/>
      <c r="K452"/>
      <c r="L452"/>
      <c r="M452"/>
      <c r="N452"/>
    </row>
    <row r="453" spans="1:14" x14ac:dyDescent="0.4">
      <c r="A453"/>
      <c r="B453"/>
      <c r="C453"/>
      <c r="D453"/>
      <c r="E453"/>
      <c r="F453"/>
      <c r="G453"/>
      <c r="H453"/>
      <c r="I453"/>
      <c r="J453"/>
      <c r="K453"/>
      <c r="L453"/>
      <c r="M453"/>
      <c r="N453"/>
    </row>
    <row r="454" spans="1:14" x14ac:dyDescent="0.4">
      <c r="A454"/>
      <c r="B454"/>
      <c r="C454"/>
      <c r="D454"/>
      <c r="E454"/>
      <c r="F454"/>
      <c r="G454"/>
      <c r="H454"/>
      <c r="I454"/>
      <c r="J454"/>
      <c r="K454"/>
      <c r="L454"/>
      <c r="M454"/>
      <c r="N454"/>
    </row>
    <row r="455" spans="1:14" x14ac:dyDescent="0.4">
      <c r="A455"/>
      <c r="B455"/>
      <c r="C455"/>
      <c r="D455"/>
      <c r="E455"/>
      <c r="F455"/>
      <c r="G455"/>
      <c r="H455"/>
      <c r="I455"/>
      <c r="J455"/>
      <c r="K455"/>
      <c r="L455"/>
      <c r="M455"/>
      <c r="N455"/>
    </row>
    <row r="456" spans="1:14" x14ac:dyDescent="0.4">
      <c r="A456"/>
      <c r="B456"/>
      <c r="C456"/>
      <c r="D456"/>
      <c r="E456"/>
      <c r="F456"/>
      <c r="G456"/>
      <c r="H456"/>
      <c r="I456"/>
      <c r="J456"/>
      <c r="K456"/>
      <c r="L456"/>
      <c r="M456"/>
      <c r="N456"/>
    </row>
    <row r="457" spans="1:14" x14ac:dyDescent="0.4">
      <c r="A457"/>
      <c r="B457"/>
      <c r="C457"/>
      <c r="D457"/>
      <c r="E457"/>
      <c r="F457"/>
      <c r="G457"/>
      <c r="H457"/>
      <c r="I457"/>
      <c r="J457"/>
      <c r="K457"/>
      <c r="L457"/>
      <c r="M457"/>
      <c r="N457"/>
    </row>
    <row r="458" spans="1:14" x14ac:dyDescent="0.4">
      <c r="A458"/>
      <c r="B458"/>
      <c r="C458"/>
      <c r="D458"/>
      <c r="E458"/>
      <c r="F458"/>
      <c r="G458"/>
      <c r="H458"/>
      <c r="I458"/>
      <c r="J458"/>
      <c r="K458"/>
      <c r="L458"/>
      <c r="M458"/>
      <c r="N458"/>
    </row>
    <row r="459" spans="1:14" x14ac:dyDescent="0.4">
      <c r="A459"/>
      <c r="B459"/>
      <c r="C459"/>
      <c r="D459"/>
      <c r="E459"/>
      <c r="F459"/>
      <c r="G459"/>
      <c r="H459"/>
      <c r="I459"/>
      <c r="J459"/>
      <c r="K459"/>
      <c r="L459"/>
      <c r="M459"/>
      <c r="N459"/>
    </row>
    <row r="460" spans="1:14" x14ac:dyDescent="0.4">
      <c r="A460"/>
      <c r="B460"/>
      <c r="C460"/>
      <c r="D460"/>
      <c r="E460"/>
      <c r="F460"/>
      <c r="G460"/>
      <c r="H460"/>
      <c r="I460"/>
      <c r="J460"/>
      <c r="K460"/>
      <c r="L460"/>
      <c r="M460"/>
      <c r="N460"/>
    </row>
    <row r="461" spans="1:14" x14ac:dyDescent="0.4">
      <c r="A461"/>
      <c r="B461"/>
      <c r="C461"/>
      <c r="D461"/>
      <c r="E461"/>
      <c r="F461"/>
      <c r="G461"/>
      <c r="H461"/>
      <c r="I461"/>
      <c r="J461"/>
      <c r="K461"/>
      <c r="L461"/>
      <c r="M461"/>
      <c r="N461"/>
    </row>
    <row r="462" spans="1:14" x14ac:dyDescent="0.4">
      <c r="A462"/>
      <c r="B462"/>
      <c r="C462"/>
      <c r="D462"/>
      <c r="E462"/>
      <c r="F462"/>
      <c r="G462"/>
      <c r="H462"/>
      <c r="I462"/>
      <c r="J462"/>
      <c r="K462"/>
      <c r="L462"/>
      <c r="M462"/>
      <c r="N462"/>
    </row>
    <row r="463" spans="1:14" x14ac:dyDescent="0.4">
      <c r="A463"/>
      <c r="B463"/>
      <c r="C463"/>
      <c r="D463"/>
      <c r="E463"/>
      <c r="F463"/>
      <c r="G463"/>
      <c r="H463"/>
      <c r="I463"/>
      <c r="J463"/>
      <c r="K463"/>
      <c r="L463"/>
      <c r="M463"/>
      <c r="N463"/>
    </row>
    <row r="464" spans="1:14" x14ac:dyDescent="0.4">
      <c r="A464"/>
      <c r="B464"/>
      <c r="C464"/>
      <c r="D464"/>
      <c r="E464"/>
      <c r="F464"/>
      <c r="G464"/>
      <c r="H464"/>
      <c r="I464"/>
      <c r="J464"/>
      <c r="K464"/>
      <c r="L464"/>
      <c r="M464"/>
      <c r="N464"/>
    </row>
    <row r="465" spans="1:14" x14ac:dyDescent="0.4">
      <c r="A465"/>
      <c r="B465"/>
      <c r="C465"/>
      <c r="D465"/>
      <c r="E465"/>
      <c r="F465"/>
      <c r="G465"/>
      <c r="H465"/>
      <c r="I465"/>
      <c r="J465"/>
      <c r="K465"/>
      <c r="L465"/>
      <c r="M465"/>
      <c r="N465"/>
    </row>
    <row r="466" spans="1:14" x14ac:dyDescent="0.4">
      <c r="A466"/>
      <c r="B466"/>
      <c r="C466"/>
      <c r="D466"/>
      <c r="E466"/>
      <c r="F466"/>
      <c r="G466"/>
      <c r="H466"/>
      <c r="I466"/>
      <c r="J466"/>
      <c r="K466"/>
      <c r="L466"/>
      <c r="M466"/>
      <c r="N466"/>
    </row>
    <row r="467" spans="1:14" x14ac:dyDescent="0.4">
      <c r="A467"/>
      <c r="B467"/>
      <c r="C467"/>
      <c r="D467"/>
      <c r="E467"/>
      <c r="F467"/>
      <c r="G467"/>
      <c r="H467"/>
      <c r="I467"/>
      <c r="J467"/>
      <c r="K467"/>
      <c r="L467"/>
      <c r="M467"/>
      <c r="N467"/>
    </row>
    <row r="468" spans="1:14" x14ac:dyDescent="0.4">
      <c r="A468"/>
      <c r="B468"/>
      <c r="C468"/>
      <c r="D468"/>
      <c r="E468"/>
      <c r="F468"/>
      <c r="G468"/>
      <c r="H468"/>
      <c r="I468"/>
      <c r="J468"/>
      <c r="K468"/>
      <c r="L468"/>
      <c r="M468"/>
      <c r="N468"/>
    </row>
    <row r="469" spans="1:14" x14ac:dyDescent="0.4">
      <c r="A469"/>
      <c r="B469"/>
      <c r="C469"/>
      <c r="D469"/>
      <c r="E469"/>
      <c r="F469"/>
      <c r="G469"/>
      <c r="H469"/>
      <c r="I469"/>
      <c r="J469"/>
      <c r="K469"/>
      <c r="L469"/>
      <c r="M469"/>
      <c r="N469"/>
    </row>
    <row r="470" spans="1:14" x14ac:dyDescent="0.4">
      <c r="A470"/>
      <c r="B470"/>
      <c r="C470"/>
      <c r="D470"/>
      <c r="E470"/>
      <c r="F470"/>
      <c r="G470"/>
      <c r="H470"/>
      <c r="I470"/>
      <c r="J470"/>
      <c r="K470"/>
      <c r="L470"/>
      <c r="M470"/>
      <c r="N470"/>
    </row>
    <row r="471" spans="1:14" x14ac:dyDescent="0.4">
      <c r="A471"/>
      <c r="B471"/>
      <c r="C471"/>
      <c r="D471"/>
      <c r="E471"/>
      <c r="F471"/>
      <c r="G471"/>
      <c r="H471"/>
      <c r="I471"/>
      <c r="J471"/>
      <c r="K471"/>
      <c r="L471"/>
      <c r="M471"/>
      <c r="N471"/>
    </row>
    <row r="472" spans="1:14" x14ac:dyDescent="0.4">
      <c r="A472"/>
      <c r="B472"/>
      <c r="C472"/>
      <c r="D472"/>
      <c r="E472"/>
      <c r="F472"/>
      <c r="G472"/>
      <c r="H472"/>
      <c r="I472"/>
      <c r="J472"/>
      <c r="K472"/>
      <c r="L472"/>
      <c r="M472"/>
      <c r="N472"/>
    </row>
    <row r="473" spans="1:14" x14ac:dyDescent="0.4">
      <c r="A473"/>
      <c r="B473"/>
      <c r="C473"/>
      <c r="D473"/>
      <c r="E473"/>
      <c r="F473"/>
      <c r="G473"/>
      <c r="H473"/>
      <c r="I473"/>
      <c r="J473"/>
      <c r="K473"/>
      <c r="L473"/>
      <c r="M473"/>
      <c r="N473"/>
    </row>
    <row r="474" spans="1:14" x14ac:dyDescent="0.4">
      <c r="A474"/>
      <c r="B474"/>
      <c r="C474"/>
      <c r="D474"/>
      <c r="E474"/>
      <c r="F474"/>
      <c r="G474"/>
      <c r="H474"/>
      <c r="I474"/>
      <c r="J474"/>
      <c r="K474"/>
      <c r="L474"/>
      <c r="M474"/>
      <c r="N474"/>
    </row>
    <row r="475" spans="1:14" x14ac:dyDescent="0.4">
      <c r="A475"/>
      <c r="B475"/>
      <c r="C475"/>
      <c r="D475"/>
      <c r="E475"/>
      <c r="F475"/>
      <c r="G475"/>
      <c r="H475"/>
      <c r="I475"/>
      <c r="J475"/>
      <c r="K475"/>
      <c r="L475"/>
      <c r="M475"/>
      <c r="N475"/>
    </row>
    <row r="476" spans="1:14" x14ac:dyDescent="0.4">
      <c r="A476"/>
      <c r="B476"/>
      <c r="C476"/>
      <c r="D476"/>
      <c r="E476"/>
      <c r="F476"/>
      <c r="G476"/>
      <c r="H476"/>
      <c r="I476"/>
      <c r="J476"/>
      <c r="K476"/>
      <c r="L476"/>
      <c r="M476"/>
      <c r="N476"/>
    </row>
    <row r="477" spans="1:14" x14ac:dyDescent="0.4">
      <c r="A477"/>
      <c r="B477"/>
      <c r="C477"/>
      <c r="D477"/>
      <c r="E477"/>
      <c r="F477"/>
      <c r="G477"/>
      <c r="H477"/>
      <c r="I477"/>
      <c r="J477"/>
      <c r="K477"/>
      <c r="L477"/>
      <c r="M477"/>
      <c r="N477"/>
    </row>
    <row r="478" spans="1:14" x14ac:dyDescent="0.4">
      <c r="A478"/>
      <c r="B478"/>
      <c r="C478"/>
      <c r="D478"/>
      <c r="E478"/>
      <c r="F478"/>
      <c r="G478"/>
      <c r="H478"/>
      <c r="I478"/>
      <c r="J478"/>
      <c r="K478"/>
      <c r="L478"/>
      <c r="M478"/>
      <c r="N478"/>
    </row>
    <row r="479" spans="1:14" x14ac:dyDescent="0.4">
      <c r="A479"/>
      <c r="B479"/>
      <c r="C479"/>
      <c r="D479"/>
      <c r="E479"/>
      <c r="F479"/>
      <c r="G479"/>
      <c r="H479"/>
      <c r="I479"/>
      <c r="J479"/>
      <c r="K479"/>
      <c r="L479"/>
      <c r="M479"/>
      <c r="N479"/>
    </row>
    <row r="480" spans="1:14" x14ac:dyDescent="0.4">
      <c r="A480"/>
      <c r="B480"/>
      <c r="C480"/>
      <c r="D480"/>
      <c r="E480"/>
      <c r="F480"/>
      <c r="G480"/>
      <c r="H480"/>
      <c r="I480"/>
      <c r="J480"/>
      <c r="K480"/>
      <c r="L480"/>
      <c r="M480"/>
      <c r="N480"/>
    </row>
    <row r="481" spans="1:14" x14ac:dyDescent="0.4">
      <c r="A481"/>
      <c r="B481"/>
      <c r="C481"/>
      <c r="D481"/>
      <c r="E481"/>
      <c r="F481"/>
      <c r="G481"/>
      <c r="H481"/>
      <c r="I481"/>
      <c r="J481"/>
      <c r="K481"/>
      <c r="L481"/>
      <c r="M481"/>
      <c r="N481"/>
    </row>
    <row r="482" spans="1:14" x14ac:dyDescent="0.4">
      <c r="A482"/>
      <c r="B482"/>
      <c r="C482"/>
      <c r="D482"/>
      <c r="E482"/>
      <c r="F482"/>
      <c r="G482"/>
      <c r="H482"/>
      <c r="I482"/>
      <c r="J482"/>
      <c r="K482"/>
      <c r="L482"/>
      <c r="M482"/>
      <c r="N482"/>
    </row>
    <row r="483" spans="1:14" x14ac:dyDescent="0.4">
      <c r="A483"/>
      <c r="B483"/>
      <c r="C483"/>
      <c r="D483"/>
      <c r="E483"/>
      <c r="F483"/>
      <c r="G483"/>
      <c r="H483"/>
      <c r="I483"/>
      <c r="J483"/>
      <c r="K483"/>
      <c r="L483"/>
      <c r="M483"/>
      <c r="N483"/>
    </row>
    <row r="484" spans="1:14" x14ac:dyDescent="0.4">
      <c r="A484"/>
      <c r="B484"/>
      <c r="C484"/>
      <c r="D484"/>
      <c r="E484"/>
      <c r="F484"/>
      <c r="G484"/>
      <c r="H484"/>
      <c r="I484"/>
      <c r="J484"/>
      <c r="K484"/>
      <c r="L484"/>
      <c r="M484"/>
      <c r="N484"/>
    </row>
    <row r="485" spans="1:14" x14ac:dyDescent="0.4">
      <c r="A485"/>
      <c r="B485"/>
      <c r="C485"/>
      <c r="D485"/>
      <c r="E485"/>
      <c r="F485"/>
      <c r="G485"/>
      <c r="H485"/>
      <c r="I485"/>
      <c r="J485"/>
      <c r="K485"/>
      <c r="L485"/>
      <c r="M485"/>
      <c r="N485"/>
    </row>
    <row r="486" spans="1:14" x14ac:dyDescent="0.4">
      <c r="A486"/>
      <c r="B486"/>
      <c r="C486"/>
      <c r="D486"/>
      <c r="E486"/>
      <c r="F486"/>
      <c r="G486"/>
      <c r="H486"/>
      <c r="I486"/>
      <c r="J486"/>
      <c r="K486"/>
      <c r="L486"/>
      <c r="M486"/>
      <c r="N486"/>
    </row>
    <row r="487" spans="1:14" x14ac:dyDescent="0.4">
      <c r="A487"/>
      <c r="B487"/>
      <c r="C487"/>
      <c r="D487"/>
      <c r="E487"/>
      <c r="F487"/>
      <c r="G487"/>
      <c r="H487"/>
      <c r="I487"/>
      <c r="J487"/>
      <c r="K487"/>
      <c r="L487"/>
      <c r="M487"/>
      <c r="N487"/>
    </row>
    <row r="488" spans="1:14" x14ac:dyDescent="0.4">
      <c r="A488"/>
      <c r="B488"/>
      <c r="C488"/>
      <c r="D488"/>
      <c r="E488"/>
      <c r="F488"/>
      <c r="G488"/>
      <c r="H488"/>
      <c r="I488"/>
      <c r="J488"/>
      <c r="K488"/>
      <c r="L488"/>
      <c r="M488"/>
      <c r="N488"/>
    </row>
    <row r="489" spans="1:14" x14ac:dyDescent="0.4">
      <c r="A489"/>
      <c r="B489"/>
      <c r="C489"/>
      <c r="D489"/>
      <c r="E489"/>
      <c r="F489"/>
      <c r="G489"/>
      <c r="H489"/>
      <c r="I489"/>
      <c r="J489"/>
      <c r="K489"/>
      <c r="L489"/>
      <c r="M489"/>
      <c r="N489"/>
    </row>
    <row r="490" spans="1:14" x14ac:dyDescent="0.4">
      <c r="A490"/>
      <c r="B490"/>
      <c r="C490"/>
      <c r="D490"/>
      <c r="E490"/>
      <c r="F490"/>
      <c r="G490"/>
      <c r="H490"/>
      <c r="I490"/>
      <c r="J490"/>
      <c r="K490"/>
      <c r="L490"/>
      <c r="M490"/>
      <c r="N490"/>
    </row>
    <row r="491" spans="1:14" x14ac:dyDescent="0.4">
      <c r="A491"/>
      <c r="B491"/>
      <c r="C491"/>
      <c r="D491"/>
      <c r="E491"/>
      <c r="F491"/>
      <c r="G491"/>
      <c r="H491"/>
      <c r="I491"/>
      <c r="J491"/>
      <c r="K491"/>
      <c r="L491"/>
      <c r="M491"/>
      <c r="N491"/>
    </row>
    <row r="492" spans="1:14" x14ac:dyDescent="0.4">
      <c r="A492"/>
      <c r="B492"/>
      <c r="C492"/>
      <c r="D492"/>
      <c r="E492"/>
      <c r="F492"/>
      <c r="G492"/>
      <c r="H492"/>
      <c r="I492"/>
      <c r="J492"/>
      <c r="K492"/>
      <c r="L492"/>
      <c r="M492"/>
      <c r="N492"/>
    </row>
    <row r="493" spans="1:14" x14ac:dyDescent="0.4">
      <c r="A493"/>
      <c r="B493"/>
      <c r="C493"/>
      <c r="D493"/>
      <c r="E493"/>
      <c r="F493"/>
      <c r="G493"/>
      <c r="H493"/>
      <c r="I493"/>
      <c r="J493"/>
      <c r="K493"/>
      <c r="L493"/>
      <c r="M493"/>
      <c r="N493"/>
    </row>
    <row r="494" spans="1:14" x14ac:dyDescent="0.4">
      <c r="A494"/>
      <c r="B494"/>
      <c r="C494"/>
      <c r="D494"/>
      <c r="E494"/>
      <c r="F494"/>
      <c r="G494"/>
      <c r="H494"/>
      <c r="I494"/>
      <c r="J494"/>
      <c r="K494"/>
      <c r="L494"/>
      <c r="M494"/>
      <c r="N494"/>
    </row>
    <row r="495" spans="1:14" x14ac:dyDescent="0.4">
      <c r="A495"/>
      <c r="B495"/>
      <c r="C495"/>
      <c r="D495"/>
      <c r="E495"/>
      <c r="F495"/>
      <c r="G495"/>
      <c r="H495"/>
      <c r="I495"/>
      <c r="J495"/>
      <c r="K495"/>
      <c r="L495"/>
      <c r="M495"/>
      <c r="N495"/>
    </row>
    <row r="496" spans="1:14" x14ac:dyDescent="0.4">
      <c r="A496"/>
      <c r="B496"/>
      <c r="C496"/>
      <c r="D496"/>
      <c r="E496"/>
      <c r="F496"/>
      <c r="G496"/>
      <c r="H496"/>
      <c r="I496"/>
      <c r="J496"/>
      <c r="K496"/>
      <c r="L496"/>
      <c r="M496"/>
      <c r="N496"/>
    </row>
    <row r="497" spans="1:14" x14ac:dyDescent="0.4">
      <c r="A497"/>
      <c r="B497"/>
      <c r="C497"/>
      <c r="D497"/>
      <c r="E497"/>
      <c r="F497"/>
      <c r="G497"/>
      <c r="H497"/>
      <c r="I497"/>
      <c r="J497"/>
      <c r="K497"/>
      <c r="L497"/>
      <c r="M497"/>
      <c r="N497"/>
    </row>
    <row r="498" spans="1:14" x14ac:dyDescent="0.4">
      <c r="A498"/>
      <c r="B498"/>
      <c r="C498"/>
      <c r="D498"/>
      <c r="E498"/>
      <c r="F498"/>
      <c r="G498"/>
      <c r="H498"/>
      <c r="I498"/>
      <c r="J498"/>
      <c r="K498"/>
      <c r="L498"/>
      <c r="M498"/>
      <c r="N498"/>
    </row>
    <row r="499" spans="1:14" x14ac:dyDescent="0.4">
      <c r="A499"/>
      <c r="B499"/>
      <c r="C499"/>
      <c r="D499"/>
      <c r="E499"/>
      <c r="F499"/>
      <c r="G499"/>
      <c r="H499"/>
      <c r="I499"/>
      <c r="J499"/>
      <c r="K499"/>
      <c r="L499"/>
      <c r="M499"/>
      <c r="N499"/>
    </row>
    <row r="500" spans="1:14" x14ac:dyDescent="0.4">
      <c r="A500"/>
      <c r="B500"/>
      <c r="C500"/>
      <c r="D500"/>
      <c r="E500"/>
      <c r="F500"/>
      <c r="G500"/>
      <c r="H500"/>
      <c r="I500"/>
      <c r="J500"/>
      <c r="K500"/>
      <c r="L500"/>
      <c r="M500"/>
      <c r="N500"/>
    </row>
    <row r="501" spans="1:14" x14ac:dyDescent="0.4">
      <c r="A501"/>
      <c r="B501"/>
      <c r="C501"/>
      <c r="D501"/>
      <c r="E501"/>
      <c r="F501"/>
      <c r="G501"/>
      <c r="H501"/>
      <c r="I501"/>
      <c r="J501"/>
      <c r="K501"/>
      <c r="L501"/>
      <c r="M501"/>
      <c r="N501"/>
    </row>
    <row r="502" spans="1:14" x14ac:dyDescent="0.4">
      <c r="A502"/>
      <c r="B502"/>
      <c r="C502"/>
      <c r="D502"/>
      <c r="E502"/>
      <c r="F502"/>
      <c r="G502"/>
      <c r="H502"/>
      <c r="I502"/>
      <c r="J502"/>
      <c r="K502"/>
      <c r="L502"/>
      <c r="M502"/>
      <c r="N502"/>
    </row>
    <row r="503" spans="1:14" x14ac:dyDescent="0.4">
      <c r="A503"/>
      <c r="B503"/>
      <c r="C503"/>
      <c r="D503"/>
      <c r="E503"/>
      <c r="F503"/>
      <c r="G503"/>
      <c r="H503"/>
      <c r="I503"/>
      <c r="J503"/>
      <c r="K503"/>
      <c r="L503"/>
      <c r="M503"/>
      <c r="N503"/>
    </row>
    <row r="504" spans="1:14" x14ac:dyDescent="0.4">
      <c r="A504"/>
      <c r="B504"/>
      <c r="C504"/>
      <c r="D504"/>
      <c r="E504"/>
      <c r="F504"/>
      <c r="G504"/>
      <c r="H504"/>
      <c r="I504"/>
      <c r="J504"/>
      <c r="K504"/>
      <c r="L504"/>
      <c r="M504"/>
      <c r="N504"/>
    </row>
    <row r="505" spans="1:14" x14ac:dyDescent="0.4">
      <c r="A505"/>
      <c r="B505"/>
      <c r="C505"/>
      <c r="D505"/>
      <c r="E505"/>
      <c r="F505"/>
      <c r="G505"/>
      <c r="H505"/>
      <c r="I505"/>
      <c r="J505"/>
      <c r="K505"/>
      <c r="L505"/>
      <c r="M505"/>
      <c r="N505"/>
    </row>
    <row r="506" spans="1:14" x14ac:dyDescent="0.4">
      <c r="A506"/>
      <c r="B506"/>
      <c r="C506"/>
      <c r="D506"/>
      <c r="E506"/>
      <c r="F506"/>
      <c r="G506"/>
      <c r="H506"/>
      <c r="I506"/>
      <c r="J506"/>
      <c r="K506"/>
      <c r="L506"/>
      <c r="M506"/>
      <c r="N506"/>
    </row>
    <row r="507" spans="1:14" x14ac:dyDescent="0.4">
      <c r="A507"/>
      <c r="B507"/>
      <c r="C507"/>
      <c r="D507"/>
      <c r="E507"/>
      <c r="F507"/>
      <c r="G507"/>
      <c r="H507"/>
      <c r="I507"/>
      <c r="J507"/>
      <c r="K507"/>
      <c r="L507"/>
      <c r="M507"/>
      <c r="N507"/>
    </row>
    <row r="508" spans="1:14" x14ac:dyDescent="0.4">
      <c r="A508"/>
      <c r="B508"/>
      <c r="C508"/>
      <c r="D508"/>
      <c r="E508"/>
      <c r="F508"/>
      <c r="G508"/>
      <c r="H508"/>
      <c r="I508"/>
      <c r="J508"/>
      <c r="K508"/>
      <c r="L508"/>
      <c r="M508"/>
      <c r="N508"/>
    </row>
    <row r="509" spans="1:14" x14ac:dyDescent="0.4">
      <c r="A509"/>
      <c r="B509"/>
      <c r="C509"/>
      <c r="D509"/>
      <c r="E509"/>
      <c r="F509"/>
      <c r="G509"/>
      <c r="H509"/>
      <c r="I509"/>
      <c r="J509"/>
      <c r="K509"/>
      <c r="L509"/>
      <c r="M509"/>
      <c r="N509"/>
    </row>
    <row r="510" spans="1:14" x14ac:dyDescent="0.4">
      <c r="A510"/>
      <c r="B510"/>
      <c r="C510"/>
      <c r="D510"/>
      <c r="E510"/>
      <c r="F510"/>
      <c r="G510"/>
      <c r="H510"/>
      <c r="I510"/>
      <c r="J510"/>
      <c r="K510"/>
      <c r="L510"/>
      <c r="M510"/>
      <c r="N510"/>
    </row>
    <row r="511" spans="1:14" x14ac:dyDescent="0.4">
      <c r="A511"/>
      <c r="B511"/>
      <c r="C511"/>
      <c r="D511"/>
      <c r="E511"/>
      <c r="F511"/>
      <c r="G511"/>
      <c r="H511"/>
      <c r="I511"/>
      <c r="J511"/>
      <c r="K511"/>
      <c r="L511"/>
      <c r="M511"/>
      <c r="N511"/>
    </row>
    <row r="512" spans="1:14" x14ac:dyDescent="0.4">
      <c r="A512"/>
      <c r="B512"/>
      <c r="C512"/>
      <c r="D512"/>
      <c r="E512"/>
      <c r="F512"/>
      <c r="G512"/>
      <c r="H512"/>
      <c r="I512"/>
      <c r="J512"/>
      <c r="K512"/>
      <c r="L512"/>
      <c r="M512"/>
      <c r="N512"/>
    </row>
    <row r="513" spans="1:14" x14ac:dyDescent="0.4">
      <c r="A513"/>
      <c r="B513"/>
      <c r="C513"/>
      <c r="D513"/>
      <c r="E513"/>
      <c r="F513"/>
      <c r="G513"/>
      <c r="H513"/>
      <c r="I513"/>
      <c r="J513"/>
      <c r="K513"/>
      <c r="L513"/>
      <c r="M513"/>
      <c r="N513"/>
    </row>
    <row r="514" spans="1:14" x14ac:dyDescent="0.4">
      <c r="A514"/>
      <c r="B514"/>
      <c r="C514"/>
      <c r="D514"/>
      <c r="E514"/>
      <c r="F514"/>
      <c r="G514"/>
      <c r="H514"/>
      <c r="I514"/>
      <c r="J514"/>
      <c r="K514"/>
      <c r="L514"/>
      <c r="M514"/>
      <c r="N514"/>
    </row>
    <row r="515" spans="1:14" x14ac:dyDescent="0.4">
      <c r="A515"/>
      <c r="B515"/>
      <c r="C515"/>
      <c r="D515"/>
      <c r="E515"/>
      <c r="F515"/>
      <c r="G515"/>
      <c r="H515"/>
      <c r="I515"/>
      <c r="J515"/>
      <c r="K515"/>
      <c r="L515"/>
      <c r="M515"/>
      <c r="N515"/>
    </row>
    <row r="516" spans="1:14" x14ac:dyDescent="0.4">
      <c r="A516"/>
      <c r="B516"/>
      <c r="C516"/>
      <c r="D516"/>
      <c r="E516"/>
      <c r="F516"/>
      <c r="G516"/>
      <c r="H516"/>
      <c r="I516"/>
      <c r="J516"/>
      <c r="K516"/>
      <c r="L516"/>
      <c r="M516"/>
      <c r="N516"/>
    </row>
    <row r="517" spans="1:14" x14ac:dyDescent="0.4">
      <c r="A517"/>
      <c r="B517"/>
      <c r="C517"/>
      <c r="D517"/>
      <c r="E517"/>
      <c r="F517"/>
      <c r="G517"/>
      <c r="H517"/>
      <c r="I517"/>
      <c r="J517"/>
      <c r="K517"/>
      <c r="L517"/>
      <c r="M517"/>
      <c r="N517"/>
    </row>
    <row r="518" spans="1:14" x14ac:dyDescent="0.4">
      <c r="A518"/>
      <c r="B518"/>
      <c r="C518"/>
      <c r="D518"/>
      <c r="E518"/>
      <c r="F518"/>
      <c r="G518"/>
      <c r="H518"/>
      <c r="I518"/>
      <c r="J518"/>
      <c r="K518"/>
      <c r="L518"/>
      <c r="M518"/>
      <c r="N518"/>
    </row>
    <row r="519" spans="1:14" x14ac:dyDescent="0.4">
      <c r="A519"/>
      <c r="B519"/>
      <c r="C519"/>
      <c r="D519"/>
      <c r="E519"/>
      <c r="F519"/>
      <c r="G519"/>
      <c r="H519"/>
      <c r="I519"/>
      <c r="J519"/>
      <c r="K519"/>
      <c r="L519"/>
      <c r="M519"/>
      <c r="N519"/>
    </row>
    <row r="520" spans="1:14" x14ac:dyDescent="0.4">
      <c r="A520"/>
      <c r="B520"/>
      <c r="C520"/>
      <c r="D520"/>
      <c r="E520"/>
      <c r="F520"/>
      <c r="G520"/>
      <c r="H520"/>
      <c r="I520"/>
      <c r="J520"/>
      <c r="K520"/>
      <c r="L520"/>
      <c r="M520"/>
      <c r="N520"/>
    </row>
    <row r="521" spans="1:14" x14ac:dyDescent="0.4">
      <c r="A521"/>
      <c r="B521"/>
      <c r="C521"/>
      <c r="D521"/>
      <c r="E521"/>
      <c r="F521"/>
      <c r="G521"/>
      <c r="H521"/>
      <c r="I521"/>
      <c r="J521"/>
      <c r="K521"/>
      <c r="L521"/>
      <c r="M521"/>
      <c r="N521"/>
    </row>
    <row r="522" spans="1:14" x14ac:dyDescent="0.4">
      <c r="A522"/>
      <c r="B522"/>
      <c r="C522"/>
      <c r="D522"/>
      <c r="E522"/>
      <c r="F522"/>
      <c r="G522"/>
      <c r="H522"/>
      <c r="I522"/>
      <c r="J522"/>
      <c r="K522"/>
      <c r="L522"/>
      <c r="M522"/>
      <c r="N522"/>
    </row>
    <row r="523" spans="1:14" x14ac:dyDescent="0.4">
      <c r="A523"/>
      <c r="B523"/>
      <c r="C523"/>
      <c r="D523"/>
      <c r="E523"/>
      <c r="F523"/>
      <c r="G523"/>
      <c r="H523"/>
      <c r="I523"/>
      <c r="J523"/>
      <c r="K523"/>
      <c r="L523"/>
      <c r="M523"/>
      <c r="N523"/>
    </row>
    <row r="524" spans="1:14" x14ac:dyDescent="0.4">
      <c r="A524"/>
      <c r="B524"/>
      <c r="C524"/>
      <c r="D524"/>
      <c r="E524"/>
      <c r="F524"/>
      <c r="G524"/>
      <c r="H524"/>
      <c r="I524"/>
      <c r="J524"/>
      <c r="K524"/>
      <c r="L524"/>
      <c r="M524"/>
      <c r="N524"/>
    </row>
    <row r="525" spans="1:14" x14ac:dyDescent="0.4">
      <c r="A525"/>
      <c r="B525"/>
      <c r="C525"/>
      <c r="D525"/>
      <c r="E525"/>
      <c r="F525"/>
      <c r="G525"/>
      <c r="H525"/>
      <c r="I525"/>
      <c r="J525"/>
      <c r="K525"/>
      <c r="L525"/>
      <c r="M525"/>
      <c r="N525"/>
    </row>
    <row r="526" spans="1:14" x14ac:dyDescent="0.4">
      <c r="A526"/>
      <c r="B526"/>
      <c r="C526"/>
      <c r="D526"/>
      <c r="E526"/>
      <c r="F526"/>
      <c r="G526"/>
      <c r="H526"/>
      <c r="I526"/>
      <c r="J526"/>
      <c r="K526"/>
      <c r="L526"/>
      <c r="M526"/>
      <c r="N526"/>
    </row>
    <row r="527" spans="1:14" x14ac:dyDescent="0.4">
      <c r="A527"/>
      <c r="B527"/>
      <c r="C527"/>
      <c r="D527"/>
      <c r="E527"/>
      <c r="F527"/>
      <c r="G527"/>
      <c r="H527"/>
      <c r="I527"/>
      <c r="J527"/>
      <c r="K527"/>
      <c r="L527"/>
      <c r="M527"/>
      <c r="N527"/>
    </row>
    <row r="528" spans="1:14" x14ac:dyDescent="0.4">
      <c r="A528"/>
      <c r="B528"/>
      <c r="C528"/>
      <c r="D528"/>
      <c r="E528"/>
      <c r="F528"/>
      <c r="G528"/>
      <c r="H528"/>
      <c r="I528"/>
      <c r="J528"/>
      <c r="K528"/>
      <c r="L528"/>
      <c r="M528"/>
      <c r="N528"/>
    </row>
    <row r="529" spans="1:14" x14ac:dyDescent="0.4">
      <c r="A529"/>
      <c r="B529"/>
      <c r="C529"/>
      <c r="D529"/>
      <c r="E529"/>
      <c r="F529"/>
      <c r="G529"/>
      <c r="H529"/>
      <c r="I529"/>
      <c r="J529"/>
      <c r="K529"/>
      <c r="L529"/>
      <c r="M529"/>
      <c r="N529"/>
    </row>
    <row r="530" spans="1:14" x14ac:dyDescent="0.4">
      <c r="A530"/>
      <c r="B530"/>
      <c r="C530"/>
      <c r="D530"/>
      <c r="E530"/>
      <c r="F530"/>
      <c r="G530"/>
      <c r="H530"/>
      <c r="I530"/>
      <c r="J530"/>
      <c r="K530"/>
      <c r="L530"/>
      <c r="M530"/>
      <c r="N530"/>
    </row>
    <row r="531" spans="1:14" x14ac:dyDescent="0.4">
      <c r="A531"/>
      <c r="B531"/>
      <c r="C531"/>
      <c r="D531"/>
      <c r="E531"/>
      <c r="F531"/>
      <c r="G531"/>
      <c r="H531"/>
      <c r="I531"/>
      <c r="J531"/>
      <c r="K531"/>
      <c r="L531"/>
      <c r="M531"/>
      <c r="N531"/>
    </row>
    <row r="532" spans="1:14" x14ac:dyDescent="0.4">
      <c r="A532"/>
      <c r="B532"/>
      <c r="C532"/>
      <c r="D532"/>
      <c r="E532"/>
      <c r="F532"/>
      <c r="G532"/>
      <c r="H532"/>
      <c r="I532"/>
      <c r="J532"/>
      <c r="K532"/>
      <c r="L532"/>
      <c r="M532"/>
      <c r="N532"/>
    </row>
    <row r="533" spans="1:14" x14ac:dyDescent="0.4">
      <c r="A533"/>
      <c r="B533"/>
      <c r="C533"/>
      <c r="D533"/>
      <c r="E533"/>
      <c r="F533"/>
      <c r="G533"/>
      <c r="H533"/>
      <c r="I533"/>
      <c r="J533"/>
      <c r="K533"/>
      <c r="L533"/>
      <c r="M533"/>
      <c r="N533"/>
    </row>
    <row r="534" spans="1:14" x14ac:dyDescent="0.4">
      <c r="A534"/>
      <c r="B534"/>
      <c r="C534"/>
      <c r="D534"/>
      <c r="E534"/>
      <c r="F534"/>
      <c r="G534"/>
      <c r="H534"/>
      <c r="I534"/>
      <c r="J534"/>
      <c r="K534"/>
      <c r="L534"/>
      <c r="M534"/>
      <c r="N534"/>
    </row>
    <row r="535" spans="1:14" x14ac:dyDescent="0.4">
      <c r="A535"/>
      <c r="B535"/>
      <c r="C535"/>
      <c r="D535"/>
      <c r="E535"/>
      <c r="F535"/>
      <c r="G535"/>
      <c r="H535"/>
      <c r="I535"/>
      <c r="J535"/>
      <c r="K535"/>
      <c r="L535"/>
      <c r="M535"/>
      <c r="N535"/>
    </row>
    <row r="536" spans="1:14" x14ac:dyDescent="0.4">
      <c r="A536"/>
      <c r="B536"/>
      <c r="C536"/>
      <c r="D536"/>
      <c r="E536"/>
      <c r="F536"/>
      <c r="G536"/>
      <c r="H536"/>
      <c r="I536"/>
      <c r="J536"/>
      <c r="K536"/>
      <c r="L536"/>
      <c r="M536"/>
      <c r="N536"/>
    </row>
    <row r="537" spans="1:14" x14ac:dyDescent="0.4">
      <c r="A537"/>
      <c r="B537"/>
      <c r="C537"/>
      <c r="D537"/>
      <c r="E537"/>
      <c r="F537"/>
      <c r="G537"/>
      <c r="H537"/>
      <c r="I537"/>
      <c r="J537"/>
      <c r="K537"/>
      <c r="L537"/>
      <c r="M537"/>
      <c r="N537"/>
    </row>
    <row r="538" spans="1:14" x14ac:dyDescent="0.4">
      <c r="A538"/>
      <c r="B538"/>
      <c r="C538"/>
      <c r="D538"/>
      <c r="E538"/>
      <c r="F538"/>
      <c r="G538"/>
      <c r="H538"/>
      <c r="I538"/>
      <c r="J538"/>
      <c r="K538"/>
      <c r="L538"/>
      <c r="M538"/>
      <c r="N538"/>
    </row>
    <row r="539" spans="1:14" x14ac:dyDescent="0.4">
      <c r="A539"/>
      <c r="B539"/>
      <c r="C539"/>
      <c r="D539"/>
      <c r="E539"/>
      <c r="F539"/>
      <c r="G539"/>
      <c r="H539"/>
      <c r="I539"/>
      <c r="J539"/>
      <c r="K539"/>
      <c r="L539"/>
      <c r="M539"/>
      <c r="N539"/>
    </row>
    <row r="540" spans="1:14" x14ac:dyDescent="0.4">
      <c r="A540"/>
      <c r="B540"/>
      <c r="C540"/>
      <c r="D540"/>
      <c r="E540"/>
      <c r="F540"/>
      <c r="G540"/>
      <c r="H540"/>
      <c r="I540"/>
      <c r="J540"/>
      <c r="K540"/>
      <c r="L540"/>
      <c r="M540"/>
      <c r="N540"/>
    </row>
    <row r="541" spans="1:14" x14ac:dyDescent="0.4">
      <c r="A541"/>
      <c r="B541"/>
      <c r="C541"/>
      <c r="D541"/>
      <c r="E541"/>
      <c r="F541"/>
      <c r="G541"/>
      <c r="H541"/>
      <c r="I541"/>
      <c r="J541"/>
      <c r="K541"/>
      <c r="L541"/>
      <c r="M541"/>
      <c r="N541"/>
    </row>
    <row r="542" spans="1:14" x14ac:dyDescent="0.4">
      <c r="A542"/>
      <c r="B542"/>
      <c r="C542"/>
      <c r="D542"/>
      <c r="E542"/>
      <c r="F542"/>
      <c r="G542"/>
      <c r="H542"/>
      <c r="I542"/>
      <c r="J542"/>
      <c r="K542"/>
      <c r="L542"/>
      <c r="M542"/>
      <c r="N542"/>
    </row>
    <row r="543" spans="1:14" x14ac:dyDescent="0.4">
      <c r="A543"/>
      <c r="B543"/>
      <c r="C543"/>
      <c r="D543"/>
      <c r="E543"/>
      <c r="F543"/>
      <c r="G543"/>
      <c r="H543"/>
      <c r="I543"/>
      <c r="J543"/>
      <c r="K543"/>
      <c r="L543"/>
      <c r="M543"/>
      <c r="N543"/>
    </row>
    <row r="544" spans="1:14" x14ac:dyDescent="0.4">
      <c r="A544"/>
      <c r="B544"/>
      <c r="C544"/>
      <c r="D544"/>
      <c r="E544"/>
      <c r="F544"/>
      <c r="G544"/>
      <c r="H544"/>
      <c r="I544"/>
      <c r="J544"/>
      <c r="K544"/>
      <c r="L544"/>
      <c r="M544"/>
      <c r="N544"/>
    </row>
    <row r="545" spans="1:14" x14ac:dyDescent="0.4">
      <c r="A545"/>
      <c r="B545"/>
      <c r="C545"/>
      <c r="D545"/>
      <c r="E545"/>
      <c r="F545"/>
      <c r="G545"/>
      <c r="H545"/>
      <c r="I545"/>
      <c r="J545"/>
      <c r="K545"/>
      <c r="L545"/>
      <c r="M545"/>
      <c r="N545"/>
    </row>
    <row r="546" spans="1:14" x14ac:dyDescent="0.4">
      <c r="A546"/>
      <c r="B546"/>
      <c r="C546"/>
      <c r="D546"/>
      <c r="E546"/>
      <c r="F546"/>
      <c r="G546"/>
      <c r="H546"/>
      <c r="I546"/>
      <c r="J546"/>
      <c r="K546"/>
      <c r="L546"/>
      <c r="M546"/>
      <c r="N546"/>
    </row>
    <row r="547" spans="1:14" x14ac:dyDescent="0.4">
      <c r="A547"/>
      <c r="B547"/>
      <c r="C547"/>
      <c r="D547"/>
      <c r="E547"/>
      <c r="F547"/>
      <c r="G547"/>
      <c r="H547"/>
      <c r="I547"/>
      <c r="J547"/>
      <c r="K547"/>
      <c r="L547"/>
      <c r="M547"/>
      <c r="N547"/>
    </row>
    <row r="548" spans="1:14" x14ac:dyDescent="0.4">
      <c r="A548"/>
      <c r="B548"/>
      <c r="C548"/>
      <c r="D548"/>
      <c r="E548"/>
      <c r="F548"/>
      <c r="G548"/>
      <c r="H548"/>
      <c r="I548"/>
      <c r="J548"/>
      <c r="K548"/>
      <c r="L548"/>
      <c r="M548"/>
      <c r="N548"/>
    </row>
    <row r="549" spans="1:14" x14ac:dyDescent="0.4">
      <c r="A549"/>
      <c r="B549"/>
      <c r="C549"/>
      <c r="D549"/>
      <c r="E549"/>
      <c r="F549"/>
      <c r="G549"/>
      <c r="H549"/>
      <c r="I549"/>
      <c r="J549"/>
      <c r="K549"/>
      <c r="L549"/>
      <c r="M549"/>
      <c r="N549"/>
    </row>
    <row r="550" spans="1:14" x14ac:dyDescent="0.4">
      <c r="A550"/>
      <c r="B550"/>
      <c r="C550"/>
      <c r="D550"/>
      <c r="E550"/>
      <c r="F550"/>
      <c r="G550"/>
      <c r="H550"/>
      <c r="I550"/>
      <c r="J550"/>
      <c r="K550"/>
      <c r="L550"/>
      <c r="M550"/>
      <c r="N550"/>
    </row>
    <row r="551" spans="1:14" x14ac:dyDescent="0.4">
      <c r="A551"/>
      <c r="B551"/>
      <c r="C551"/>
      <c r="D551"/>
      <c r="E551"/>
      <c r="F551"/>
      <c r="G551"/>
      <c r="H551"/>
      <c r="I551"/>
      <c r="J551"/>
      <c r="K551"/>
      <c r="L551"/>
      <c r="M551"/>
      <c r="N551"/>
    </row>
    <row r="552" spans="1:14" x14ac:dyDescent="0.4">
      <c r="A552"/>
      <c r="B552"/>
      <c r="C552"/>
      <c r="D552"/>
      <c r="E552"/>
      <c r="F552"/>
      <c r="G552"/>
      <c r="H552"/>
      <c r="I552"/>
      <c r="J552"/>
      <c r="K552"/>
      <c r="L552"/>
      <c r="M552"/>
      <c r="N552"/>
    </row>
    <row r="553" spans="1:14" x14ac:dyDescent="0.4">
      <c r="A553"/>
      <c r="B553"/>
      <c r="C553"/>
      <c r="D553"/>
      <c r="E553"/>
      <c r="F553"/>
      <c r="G553"/>
      <c r="H553"/>
      <c r="I553"/>
      <c r="J553"/>
      <c r="K553"/>
      <c r="L553"/>
      <c r="M553"/>
      <c r="N553"/>
    </row>
    <row r="554" spans="1:14" x14ac:dyDescent="0.4">
      <c r="A554"/>
      <c r="B554"/>
      <c r="C554"/>
      <c r="D554"/>
      <c r="E554"/>
      <c r="F554"/>
      <c r="G554"/>
      <c r="H554"/>
      <c r="I554"/>
      <c r="J554"/>
      <c r="K554"/>
      <c r="L554"/>
      <c r="M554"/>
      <c r="N554"/>
    </row>
    <row r="555" spans="1:14" x14ac:dyDescent="0.4">
      <c r="A555"/>
      <c r="B555"/>
      <c r="C555"/>
      <c r="D555"/>
      <c r="E555"/>
      <c r="F555"/>
      <c r="G555"/>
      <c r="H555"/>
      <c r="I555"/>
      <c r="J555"/>
      <c r="K555"/>
      <c r="L555"/>
      <c r="M555"/>
      <c r="N555"/>
    </row>
    <row r="556" spans="1:14" x14ac:dyDescent="0.4">
      <c r="A556"/>
      <c r="B556"/>
      <c r="C556"/>
      <c r="D556"/>
      <c r="E556"/>
      <c r="F556"/>
      <c r="G556"/>
      <c r="H556"/>
      <c r="I556"/>
      <c r="J556"/>
      <c r="K556"/>
      <c r="L556"/>
      <c r="M556"/>
      <c r="N556"/>
    </row>
    <row r="557" spans="1:14" x14ac:dyDescent="0.4">
      <c r="A557"/>
      <c r="B557"/>
      <c r="C557"/>
      <c r="D557"/>
      <c r="E557"/>
      <c r="F557"/>
      <c r="G557"/>
      <c r="H557"/>
      <c r="I557"/>
      <c r="J557"/>
      <c r="K557"/>
      <c r="L557"/>
      <c r="M557"/>
      <c r="N557"/>
    </row>
    <row r="558" spans="1:14" x14ac:dyDescent="0.4">
      <c r="A558"/>
      <c r="B558"/>
      <c r="C558"/>
      <c r="D558"/>
      <c r="E558"/>
      <c r="F558"/>
      <c r="G558"/>
      <c r="H558"/>
      <c r="I558"/>
      <c r="J558"/>
      <c r="K558"/>
      <c r="L558"/>
      <c r="M558"/>
      <c r="N558"/>
    </row>
    <row r="559" spans="1:14" x14ac:dyDescent="0.4">
      <c r="A559"/>
      <c r="B559"/>
      <c r="C559"/>
      <c r="D559"/>
      <c r="E559"/>
      <c r="F559"/>
      <c r="G559"/>
      <c r="H559"/>
      <c r="I559"/>
      <c r="J559"/>
      <c r="K559"/>
      <c r="L559"/>
      <c r="M559"/>
      <c r="N559"/>
    </row>
    <row r="560" spans="1:14" x14ac:dyDescent="0.4">
      <c r="A560"/>
      <c r="B560"/>
      <c r="C560"/>
      <c r="D560"/>
      <c r="E560"/>
      <c r="F560"/>
      <c r="G560"/>
      <c r="H560"/>
      <c r="I560"/>
      <c r="J560"/>
      <c r="K560"/>
      <c r="L560"/>
      <c r="M560"/>
      <c r="N560"/>
    </row>
    <row r="561" spans="1:14" x14ac:dyDescent="0.4">
      <c r="A561"/>
      <c r="B561"/>
      <c r="C561"/>
      <c r="D561"/>
      <c r="E561"/>
      <c r="F561"/>
      <c r="G561"/>
      <c r="H561"/>
      <c r="I561"/>
      <c r="J561"/>
      <c r="K561"/>
      <c r="L561"/>
      <c r="M561"/>
      <c r="N561"/>
    </row>
    <row r="562" spans="1:14" x14ac:dyDescent="0.4">
      <c r="A562"/>
      <c r="B562"/>
      <c r="C562"/>
      <c r="D562"/>
      <c r="E562"/>
      <c r="F562"/>
      <c r="G562"/>
      <c r="H562"/>
      <c r="I562"/>
      <c r="J562"/>
      <c r="K562"/>
      <c r="L562"/>
      <c r="M562"/>
      <c r="N562"/>
    </row>
    <row r="563" spans="1:14" x14ac:dyDescent="0.4">
      <c r="A563"/>
      <c r="B563"/>
      <c r="C563"/>
      <c r="D563"/>
      <c r="E563"/>
      <c r="F563"/>
      <c r="G563"/>
      <c r="H563"/>
      <c r="I563"/>
      <c r="J563"/>
      <c r="K563"/>
      <c r="L563"/>
      <c r="M563"/>
      <c r="N563"/>
    </row>
    <row r="564" spans="1:14" x14ac:dyDescent="0.4">
      <c r="A564"/>
      <c r="B564"/>
      <c r="C564"/>
      <c r="D564"/>
      <c r="E564"/>
      <c r="F564"/>
      <c r="G564"/>
      <c r="H564"/>
      <c r="I564"/>
      <c r="J564"/>
      <c r="K564"/>
      <c r="L564"/>
      <c r="M564"/>
      <c r="N564"/>
    </row>
    <row r="565" spans="1:14" x14ac:dyDescent="0.4">
      <c r="A565"/>
      <c r="B565"/>
      <c r="C565"/>
      <c r="D565"/>
      <c r="E565"/>
      <c r="F565"/>
      <c r="G565"/>
      <c r="H565"/>
      <c r="I565"/>
      <c r="J565"/>
      <c r="K565"/>
      <c r="L565"/>
      <c r="M565"/>
      <c r="N565"/>
    </row>
    <row r="566" spans="1:14" x14ac:dyDescent="0.4">
      <c r="A566"/>
      <c r="B566"/>
      <c r="C566"/>
      <c r="D566"/>
      <c r="E566"/>
      <c r="F566"/>
      <c r="G566"/>
      <c r="H566"/>
      <c r="I566"/>
      <c r="J566"/>
      <c r="K566"/>
      <c r="L566"/>
      <c r="M566"/>
      <c r="N566"/>
    </row>
    <row r="567" spans="1:14" x14ac:dyDescent="0.4">
      <c r="A567"/>
      <c r="B567"/>
      <c r="C567"/>
      <c r="D567"/>
      <c r="E567"/>
      <c r="F567"/>
      <c r="G567"/>
      <c r="H567"/>
      <c r="I567"/>
      <c r="J567"/>
      <c r="K567"/>
      <c r="L567"/>
      <c r="M567"/>
      <c r="N567"/>
    </row>
    <row r="568" spans="1:14" x14ac:dyDescent="0.4">
      <c r="A568"/>
      <c r="B568"/>
      <c r="C568"/>
      <c r="D568"/>
      <c r="E568"/>
      <c r="F568"/>
      <c r="G568"/>
      <c r="H568"/>
      <c r="I568"/>
      <c r="J568"/>
      <c r="K568"/>
      <c r="L568"/>
      <c r="M568"/>
      <c r="N568"/>
    </row>
    <row r="569" spans="1:14" x14ac:dyDescent="0.4">
      <c r="A569"/>
      <c r="B569"/>
      <c r="C569"/>
      <c r="D569"/>
      <c r="E569"/>
      <c r="F569"/>
      <c r="G569"/>
      <c r="H569"/>
      <c r="I569"/>
      <c r="J569"/>
      <c r="K569"/>
      <c r="L569"/>
      <c r="M569"/>
      <c r="N569"/>
    </row>
    <row r="570" spans="1:14" x14ac:dyDescent="0.4">
      <c r="A570"/>
      <c r="B570"/>
      <c r="C570"/>
      <c r="D570"/>
      <c r="E570"/>
      <c r="F570"/>
      <c r="G570"/>
      <c r="H570"/>
      <c r="I570"/>
      <c r="J570"/>
      <c r="K570"/>
      <c r="L570"/>
      <c r="M570"/>
      <c r="N570"/>
    </row>
    <row r="571" spans="1:14" x14ac:dyDescent="0.4">
      <c r="A571"/>
      <c r="B571"/>
      <c r="C571"/>
      <c r="D571"/>
      <c r="E571"/>
      <c r="F571"/>
      <c r="G571"/>
      <c r="H571"/>
      <c r="I571"/>
      <c r="J571"/>
      <c r="K571"/>
      <c r="L571"/>
      <c r="M571"/>
      <c r="N571"/>
    </row>
    <row r="572" spans="1:14" x14ac:dyDescent="0.4">
      <c r="A572"/>
      <c r="B572"/>
      <c r="C572"/>
      <c r="D572"/>
      <c r="E572"/>
      <c r="F572"/>
      <c r="G572"/>
      <c r="H572"/>
      <c r="I572"/>
      <c r="J572"/>
      <c r="K572"/>
      <c r="L572"/>
      <c r="M572"/>
      <c r="N572"/>
    </row>
    <row r="573" spans="1:14" x14ac:dyDescent="0.4">
      <c r="A573"/>
      <c r="B573"/>
      <c r="C573"/>
      <c r="D573"/>
      <c r="E573"/>
      <c r="F573"/>
      <c r="G573"/>
      <c r="H573"/>
      <c r="I573"/>
      <c r="J573"/>
      <c r="K573"/>
      <c r="L573"/>
      <c r="M573"/>
      <c r="N573"/>
    </row>
    <row r="574" spans="1:14" x14ac:dyDescent="0.4">
      <c r="A574"/>
      <c r="B574"/>
      <c r="C574"/>
      <c r="D574"/>
      <c r="E574"/>
      <c r="F574"/>
      <c r="G574"/>
      <c r="H574"/>
      <c r="I574"/>
      <c r="J574"/>
      <c r="K574"/>
      <c r="L574"/>
      <c r="M574"/>
      <c r="N574"/>
    </row>
    <row r="575" spans="1:14" x14ac:dyDescent="0.4">
      <c r="A575"/>
      <c r="B575"/>
      <c r="C575"/>
      <c r="D575"/>
      <c r="E575"/>
      <c r="F575"/>
      <c r="G575"/>
      <c r="H575"/>
      <c r="I575"/>
      <c r="J575"/>
      <c r="K575"/>
      <c r="L575"/>
      <c r="M575"/>
      <c r="N575"/>
    </row>
    <row r="576" spans="1:14" x14ac:dyDescent="0.4">
      <c r="A576"/>
      <c r="B576"/>
      <c r="C576"/>
      <c r="D576"/>
      <c r="E576"/>
      <c r="F576"/>
      <c r="G576"/>
      <c r="H576"/>
      <c r="I576"/>
      <c r="J576"/>
      <c r="K576"/>
      <c r="L576"/>
      <c r="M576"/>
      <c r="N576"/>
    </row>
    <row r="577" spans="1:14" x14ac:dyDescent="0.4">
      <c r="A577"/>
      <c r="B577"/>
      <c r="C577"/>
      <c r="D577"/>
      <c r="E577"/>
      <c r="F577"/>
      <c r="G577"/>
      <c r="H577"/>
      <c r="I577"/>
      <c r="J577"/>
      <c r="K577"/>
      <c r="L577"/>
      <c r="M577"/>
      <c r="N577"/>
    </row>
    <row r="578" spans="1:14" x14ac:dyDescent="0.4">
      <c r="A578"/>
      <c r="B578"/>
      <c r="C578"/>
      <c r="D578"/>
      <c r="E578"/>
      <c r="F578"/>
      <c r="G578"/>
      <c r="H578"/>
      <c r="I578"/>
      <c r="J578"/>
      <c r="K578"/>
      <c r="L578"/>
      <c r="M578"/>
      <c r="N578"/>
    </row>
    <row r="579" spans="1:14" x14ac:dyDescent="0.4">
      <c r="A579"/>
      <c r="B579"/>
      <c r="C579"/>
      <c r="D579"/>
      <c r="E579"/>
      <c r="F579"/>
      <c r="G579"/>
      <c r="H579"/>
      <c r="I579"/>
      <c r="J579"/>
      <c r="K579"/>
      <c r="L579"/>
      <c r="M579"/>
      <c r="N579"/>
    </row>
    <row r="580" spans="1:14" x14ac:dyDescent="0.4">
      <c r="A580"/>
      <c r="B580"/>
      <c r="C580"/>
      <c r="D580"/>
      <c r="E580"/>
      <c r="F580"/>
      <c r="G580"/>
      <c r="H580"/>
      <c r="I580"/>
      <c r="J580"/>
      <c r="K580"/>
      <c r="L580"/>
      <c r="M580"/>
      <c r="N580"/>
    </row>
    <row r="581" spans="1:14" x14ac:dyDescent="0.4">
      <c r="A581"/>
      <c r="B581"/>
      <c r="C581"/>
      <c r="D581"/>
      <c r="E581"/>
      <c r="F581"/>
      <c r="G581"/>
      <c r="H581"/>
      <c r="I581"/>
      <c r="J581"/>
      <c r="K581"/>
      <c r="L581"/>
      <c r="M581"/>
      <c r="N581"/>
    </row>
    <row r="582" spans="1:14" x14ac:dyDescent="0.4">
      <c r="A582"/>
      <c r="B582"/>
      <c r="C582"/>
      <c r="D582"/>
      <c r="E582"/>
      <c r="F582"/>
      <c r="G582"/>
      <c r="H582"/>
      <c r="I582"/>
      <c r="J582"/>
      <c r="K582"/>
      <c r="L582"/>
      <c r="M582"/>
      <c r="N582"/>
    </row>
    <row r="583" spans="1:14" x14ac:dyDescent="0.4">
      <c r="A583"/>
      <c r="B583"/>
      <c r="C583"/>
      <c r="D583"/>
      <c r="E583"/>
      <c r="F583"/>
      <c r="G583"/>
      <c r="H583"/>
      <c r="I583"/>
      <c r="J583"/>
      <c r="K583"/>
      <c r="L583"/>
      <c r="M583"/>
      <c r="N583"/>
    </row>
    <row r="584" spans="1:14" x14ac:dyDescent="0.4">
      <c r="A584"/>
      <c r="B584"/>
      <c r="C584"/>
      <c r="D584"/>
      <c r="E584"/>
      <c r="F584"/>
      <c r="G584"/>
      <c r="H584"/>
      <c r="I584"/>
      <c r="J584"/>
      <c r="K584"/>
      <c r="L584"/>
      <c r="M584"/>
      <c r="N584"/>
    </row>
    <row r="585" spans="1:14" x14ac:dyDescent="0.4">
      <c r="A585"/>
      <c r="B585"/>
      <c r="C585"/>
      <c r="D585"/>
      <c r="E585"/>
      <c r="F585"/>
      <c r="G585"/>
      <c r="H585"/>
      <c r="I585"/>
      <c r="J585"/>
      <c r="K585"/>
      <c r="L585"/>
      <c r="M585"/>
      <c r="N585"/>
    </row>
    <row r="586" spans="1:14" x14ac:dyDescent="0.4">
      <c r="A586"/>
      <c r="B586"/>
      <c r="C586"/>
      <c r="D586"/>
      <c r="E586"/>
      <c r="F586"/>
      <c r="G586"/>
      <c r="H586"/>
      <c r="I586"/>
      <c r="J586"/>
      <c r="K586"/>
      <c r="L586"/>
      <c r="M586"/>
      <c r="N586"/>
    </row>
    <row r="587" spans="1:14" x14ac:dyDescent="0.4">
      <c r="A587"/>
      <c r="B587"/>
      <c r="C587"/>
      <c r="D587"/>
      <c r="E587"/>
      <c r="F587"/>
      <c r="G587"/>
      <c r="H587"/>
      <c r="I587"/>
      <c r="J587"/>
      <c r="K587"/>
      <c r="L587"/>
      <c r="M587"/>
      <c r="N587"/>
    </row>
    <row r="588" spans="1:14" x14ac:dyDescent="0.4">
      <c r="A588"/>
      <c r="B588"/>
      <c r="C588"/>
      <c r="D588"/>
      <c r="E588"/>
      <c r="F588"/>
      <c r="G588"/>
      <c r="H588"/>
      <c r="I588"/>
      <c r="J588"/>
      <c r="K588"/>
      <c r="L588"/>
      <c r="M588"/>
      <c r="N588"/>
    </row>
    <row r="589" spans="1:14" x14ac:dyDescent="0.4">
      <c r="A589"/>
      <c r="B589"/>
      <c r="C589"/>
      <c r="D589"/>
      <c r="E589"/>
      <c r="F589"/>
      <c r="G589"/>
      <c r="H589"/>
      <c r="I589"/>
      <c r="J589"/>
      <c r="K589"/>
      <c r="L589"/>
      <c r="M589"/>
      <c r="N589"/>
    </row>
    <row r="590" spans="1:14" x14ac:dyDescent="0.4">
      <c r="A590"/>
      <c r="B590"/>
      <c r="C590"/>
      <c r="D590"/>
      <c r="E590"/>
      <c r="F590"/>
      <c r="G590"/>
      <c r="H590"/>
      <c r="I590"/>
      <c r="J590"/>
      <c r="K590"/>
      <c r="L590"/>
      <c r="M590"/>
      <c r="N590"/>
    </row>
    <row r="591" spans="1:14" x14ac:dyDescent="0.4">
      <c r="A591"/>
      <c r="B591"/>
      <c r="C591"/>
      <c r="D591"/>
      <c r="E591"/>
      <c r="F591"/>
      <c r="G591"/>
      <c r="H591"/>
      <c r="I591"/>
      <c r="J591"/>
      <c r="K591"/>
      <c r="L591"/>
      <c r="M591"/>
      <c r="N591"/>
    </row>
    <row r="592" spans="1:14" x14ac:dyDescent="0.4">
      <c r="A592"/>
      <c r="B592"/>
      <c r="C592"/>
      <c r="D592"/>
      <c r="E592"/>
      <c r="F592"/>
      <c r="G592"/>
      <c r="H592"/>
      <c r="I592"/>
      <c r="J592"/>
      <c r="K592"/>
      <c r="L592"/>
      <c r="M592"/>
      <c r="N592"/>
    </row>
    <row r="593" spans="1:14" x14ac:dyDescent="0.4">
      <c r="A593"/>
      <c r="B593"/>
      <c r="C593"/>
      <c r="D593"/>
      <c r="E593"/>
      <c r="F593"/>
      <c r="G593"/>
      <c r="H593"/>
      <c r="I593"/>
      <c r="J593"/>
      <c r="K593"/>
      <c r="L593"/>
      <c r="M593"/>
      <c r="N593"/>
    </row>
    <row r="594" spans="1:14" x14ac:dyDescent="0.4">
      <c r="A594"/>
      <c r="B594"/>
      <c r="C594"/>
      <c r="D594"/>
      <c r="E594"/>
      <c r="F594"/>
      <c r="G594"/>
      <c r="H594"/>
      <c r="I594"/>
      <c r="J594"/>
      <c r="K594"/>
      <c r="L594"/>
      <c r="M594"/>
      <c r="N594"/>
    </row>
    <row r="595" spans="1:14" x14ac:dyDescent="0.4">
      <c r="A595"/>
      <c r="B595"/>
      <c r="C595"/>
      <c r="D595"/>
      <c r="E595"/>
      <c r="F595"/>
      <c r="G595"/>
      <c r="H595"/>
      <c r="I595"/>
      <c r="J595"/>
      <c r="K595"/>
      <c r="L595"/>
      <c r="M595"/>
      <c r="N595"/>
    </row>
    <row r="596" spans="1:14" x14ac:dyDescent="0.4">
      <c r="A596"/>
      <c r="B596"/>
      <c r="C596"/>
      <c r="D596"/>
      <c r="E596"/>
      <c r="F596"/>
      <c r="G596"/>
      <c r="H596"/>
      <c r="I596"/>
      <c r="J596"/>
      <c r="K596"/>
      <c r="L596"/>
      <c r="M596"/>
      <c r="N596"/>
    </row>
    <row r="597" spans="1:14" x14ac:dyDescent="0.4">
      <c r="A597"/>
      <c r="B597"/>
      <c r="C597"/>
      <c r="D597"/>
      <c r="E597"/>
      <c r="F597"/>
      <c r="G597"/>
      <c r="H597"/>
      <c r="I597"/>
      <c r="J597"/>
      <c r="K597"/>
      <c r="L597"/>
      <c r="M597"/>
      <c r="N597"/>
    </row>
    <row r="598" spans="1:14" x14ac:dyDescent="0.4">
      <c r="A598"/>
      <c r="B598"/>
      <c r="C598"/>
      <c r="D598"/>
      <c r="E598"/>
      <c r="F598"/>
      <c r="G598"/>
      <c r="H598"/>
      <c r="I598"/>
      <c r="J598"/>
      <c r="K598"/>
      <c r="L598"/>
      <c r="M598"/>
      <c r="N598"/>
    </row>
    <row r="599" spans="1:14" x14ac:dyDescent="0.4">
      <c r="A599"/>
      <c r="B599"/>
      <c r="C599"/>
      <c r="D599"/>
      <c r="E599"/>
      <c r="F599"/>
      <c r="G599"/>
      <c r="H599"/>
      <c r="I599"/>
      <c r="J599"/>
      <c r="K599"/>
      <c r="L599"/>
      <c r="M599"/>
      <c r="N599"/>
    </row>
    <row r="600" spans="1:14" x14ac:dyDescent="0.4">
      <c r="A600"/>
      <c r="B600"/>
      <c r="C600"/>
      <c r="D600"/>
      <c r="E600"/>
      <c r="F600"/>
      <c r="G600"/>
      <c r="H600"/>
      <c r="I600"/>
      <c r="J600"/>
      <c r="K600"/>
      <c r="L600"/>
      <c r="M600"/>
      <c r="N600"/>
    </row>
    <row r="601" spans="1:14" x14ac:dyDescent="0.4">
      <c r="A601"/>
      <c r="B601"/>
      <c r="C601"/>
      <c r="D601"/>
      <c r="E601"/>
      <c r="F601"/>
      <c r="G601"/>
      <c r="H601"/>
      <c r="I601"/>
      <c r="J601"/>
      <c r="K601"/>
      <c r="L601"/>
      <c r="M601"/>
      <c r="N601"/>
    </row>
    <row r="602" spans="1:14" x14ac:dyDescent="0.4">
      <c r="A602"/>
      <c r="B602"/>
      <c r="C602"/>
      <c r="D602"/>
      <c r="E602"/>
      <c r="F602"/>
      <c r="G602"/>
      <c r="H602"/>
      <c r="I602"/>
      <c r="J602"/>
      <c r="K602"/>
      <c r="L602"/>
      <c r="M602"/>
      <c r="N602"/>
    </row>
    <row r="603" spans="1:14" x14ac:dyDescent="0.4">
      <c r="A603"/>
      <c r="B603"/>
      <c r="C603"/>
      <c r="D603"/>
      <c r="E603"/>
      <c r="F603"/>
      <c r="G603"/>
      <c r="H603"/>
      <c r="I603"/>
      <c r="J603"/>
      <c r="K603"/>
      <c r="L603"/>
      <c r="M603"/>
      <c r="N603"/>
    </row>
    <row r="604" spans="1:14" x14ac:dyDescent="0.4">
      <c r="A604"/>
      <c r="B604"/>
      <c r="C604"/>
      <c r="D604"/>
      <c r="E604"/>
      <c r="F604"/>
      <c r="G604"/>
      <c r="H604"/>
      <c r="I604"/>
      <c r="J604"/>
      <c r="K604"/>
      <c r="L604"/>
      <c r="M604"/>
      <c r="N604"/>
    </row>
    <row r="605" spans="1:14" x14ac:dyDescent="0.4">
      <c r="A605"/>
      <c r="B605"/>
      <c r="C605"/>
      <c r="D605"/>
      <c r="E605"/>
      <c r="F605"/>
      <c r="G605"/>
      <c r="H605"/>
      <c r="I605"/>
      <c r="J605"/>
      <c r="K605"/>
      <c r="L605"/>
      <c r="M605"/>
      <c r="N605"/>
    </row>
    <row r="606" spans="1:14" x14ac:dyDescent="0.4">
      <c r="A606"/>
      <c r="B606"/>
      <c r="C606"/>
      <c r="D606"/>
      <c r="E606"/>
      <c r="F606"/>
      <c r="G606"/>
      <c r="H606"/>
      <c r="I606"/>
      <c r="J606"/>
      <c r="K606"/>
      <c r="L606"/>
      <c r="M606"/>
      <c r="N606"/>
    </row>
    <row r="607" spans="1:14" x14ac:dyDescent="0.4">
      <c r="A607"/>
      <c r="B607"/>
      <c r="C607"/>
      <c r="D607"/>
      <c r="E607"/>
      <c r="F607"/>
      <c r="G607"/>
      <c r="H607"/>
      <c r="I607"/>
      <c r="J607"/>
      <c r="K607"/>
      <c r="L607"/>
      <c r="M607"/>
      <c r="N607"/>
    </row>
    <row r="608" spans="1:14" x14ac:dyDescent="0.4">
      <c r="A608"/>
      <c r="B608"/>
      <c r="C608"/>
      <c r="D608"/>
      <c r="E608"/>
      <c r="F608"/>
      <c r="G608"/>
      <c r="H608"/>
      <c r="I608"/>
      <c r="J608"/>
      <c r="K608"/>
      <c r="L608"/>
      <c r="M608"/>
      <c r="N608"/>
    </row>
    <row r="609" spans="1:14" x14ac:dyDescent="0.4">
      <c r="A609"/>
      <c r="B609"/>
      <c r="C609"/>
      <c r="D609"/>
      <c r="E609"/>
      <c r="F609"/>
      <c r="G609"/>
      <c r="H609"/>
      <c r="I609"/>
      <c r="J609"/>
      <c r="K609"/>
      <c r="L609"/>
      <c r="M609"/>
      <c r="N609"/>
    </row>
    <row r="610" spans="1:14" x14ac:dyDescent="0.4">
      <c r="A610"/>
      <c r="B610"/>
      <c r="C610"/>
      <c r="D610"/>
      <c r="E610"/>
      <c r="F610"/>
      <c r="G610"/>
      <c r="H610"/>
      <c r="I610"/>
      <c r="J610"/>
      <c r="K610"/>
      <c r="L610"/>
      <c r="M610"/>
      <c r="N610"/>
    </row>
    <row r="611" spans="1:14" x14ac:dyDescent="0.4">
      <c r="A611"/>
      <c r="B611"/>
      <c r="C611"/>
      <c r="D611"/>
      <c r="E611"/>
      <c r="F611"/>
      <c r="G611"/>
      <c r="H611"/>
      <c r="I611"/>
      <c r="J611"/>
      <c r="K611"/>
      <c r="L611"/>
      <c r="M611"/>
      <c r="N611"/>
    </row>
    <row r="612" spans="1:14" x14ac:dyDescent="0.4">
      <c r="A612"/>
      <c r="B612"/>
      <c r="C612"/>
      <c r="D612"/>
      <c r="E612"/>
      <c r="F612"/>
      <c r="G612"/>
      <c r="H612"/>
      <c r="I612"/>
      <c r="J612"/>
      <c r="K612"/>
      <c r="L612"/>
      <c r="M612"/>
      <c r="N612"/>
    </row>
    <row r="613" spans="1:14" x14ac:dyDescent="0.4">
      <c r="A613"/>
      <c r="B613"/>
      <c r="C613"/>
      <c r="D613"/>
      <c r="E613"/>
      <c r="F613"/>
      <c r="G613"/>
      <c r="H613"/>
      <c r="I613"/>
      <c r="J613"/>
      <c r="K613"/>
      <c r="L613"/>
      <c r="M613"/>
      <c r="N613"/>
    </row>
    <row r="614" spans="1:14" x14ac:dyDescent="0.4">
      <c r="A614"/>
      <c r="B614"/>
      <c r="C614"/>
      <c r="D614"/>
      <c r="E614"/>
      <c r="F614"/>
      <c r="G614"/>
      <c r="H614"/>
      <c r="I614"/>
      <c r="J614"/>
      <c r="K614"/>
      <c r="L614"/>
      <c r="M614"/>
      <c r="N614"/>
    </row>
    <row r="615" spans="1:14" x14ac:dyDescent="0.4">
      <c r="A615"/>
      <c r="B615"/>
      <c r="C615"/>
      <c r="D615"/>
      <c r="E615"/>
      <c r="F615"/>
      <c r="G615"/>
      <c r="H615"/>
      <c r="I615"/>
      <c r="J615"/>
      <c r="K615"/>
      <c r="L615"/>
      <c r="M615"/>
      <c r="N615"/>
    </row>
    <row r="616" spans="1:14" x14ac:dyDescent="0.4">
      <c r="A616"/>
      <c r="B616"/>
      <c r="C616"/>
      <c r="D616"/>
      <c r="E616"/>
      <c r="F616"/>
      <c r="G616"/>
      <c r="H616"/>
      <c r="I616"/>
      <c r="J616"/>
      <c r="K616"/>
      <c r="L616"/>
      <c r="M616"/>
      <c r="N616"/>
    </row>
    <row r="617" spans="1:14" x14ac:dyDescent="0.4">
      <c r="A617"/>
      <c r="B617"/>
      <c r="C617"/>
      <c r="D617"/>
      <c r="E617"/>
      <c r="F617"/>
      <c r="G617"/>
      <c r="H617"/>
      <c r="I617"/>
      <c r="J617"/>
      <c r="K617"/>
      <c r="L617"/>
      <c r="M617"/>
      <c r="N617"/>
    </row>
    <row r="618" spans="1:14" x14ac:dyDescent="0.4">
      <c r="A618"/>
      <c r="B618"/>
      <c r="C618"/>
      <c r="D618"/>
      <c r="E618"/>
      <c r="F618"/>
      <c r="G618"/>
      <c r="H618"/>
      <c r="I618"/>
      <c r="J618"/>
      <c r="K618"/>
      <c r="L618"/>
      <c r="M618"/>
      <c r="N618"/>
    </row>
    <row r="619" spans="1:14" x14ac:dyDescent="0.4">
      <c r="A619"/>
      <c r="B619"/>
      <c r="C619"/>
      <c r="D619"/>
      <c r="E619"/>
      <c r="F619"/>
      <c r="G619"/>
      <c r="H619"/>
      <c r="I619"/>
      <c r="J619"/>
      <c r="K619"/>
      <c r="L619"/>
      <c r="M619"/>
      <c r="N619"/>
    </row>
    <row r="620" spans="1:14" x14ac:dyDescent="0.4">
      <c r="A620"/>
      <c r="B620"/>
      <c r="C620"/>
      <c r="D620"/>
      <c r="E620"/>
      <c r="F620"/>
      <c r="G620"/>
      <c r="H620"/>
      <c r="I620"/>
      <c r="J620"/>
      <c r="K620"/>
      <c r="L620"/>
      <c r="M620"/>
      <c r="N620"/>
    </row>
    <row r="621" spans="1:14" x14ac:dyDescent="0.4">
      <c r="A621"/>
      <c r="B621"/>
      <c r="C621"/>
      <c r="D621"/>
      <c r="E621"/>
      <c r="F621"/>
      <c r="G621"/>
      <c r="H621"/>
      <c r="I621"/>
      <c r="J621"/>
      <c r="K621"/>
      <c r="L621"/>
      <c r="M621"/>
      <c r="N621"/>
    </row>
    <row r="622" spans="1:14" x14ac:dyDescent="0.4">
      <c r="A622"/>
      <c r="B622"/>
      <c r="C622"/>
      <c r="D622"/>
      <c r="E622"/>
      <c r="F622"/>
      <c r="G622"/>
      <c r="H622"/>
      <c r="I622"/>
      <c r="J622"/>
      <c r="K622"/>
      <c r="L622"/>
      <c r="M622"/>
      <c r="N622"/>
    </row>
    <row r="623" spans="1:14" x14ac:dyDescent="0.4">
      <c r="A623"/>
      <c r="B623"/>
      <c r="C623"/>
      <c r="D623"/>
      <c r="E623"/>
      <c r="F623"/>
      <c r="G623"/>
      <c r="H623"/>
      <c r="I623"/>
      <c r="J623"/>
      <c r="K623"/>
      <c r="L623"/>
      <c r="M623"/>
      <c r="N623"/>
    </row>
    <row r="624" spans="1:14" x14ac:dyDescent="0.4">
      <c r="A624"/>
      <c r="B624"/>
      <c r="C624"/>
      <c r="D624"/>
      <c r="E624"/>
      <c r="F624"/>
      <c r="G624"/>
      <c r="H624"/>
      <c r="I624"/>
      <c r="J624"/>
      <c r="K624"/>
      <c r="L624"/>
      <c r="M624"/>
      <c r="N624"/>
    </row>
    <row r="625" spans="1:14" x14ac:dyDescent="0.4">
      <c r="A625"/>
      <c r="B625"/>
      <c r="C625"/>
      <c r="D625"/>
      <c r="E625"/>
      <c r="F625"/>
      <c r="G625"/>
      <c r="H625"/>
      <c r="I625"/>
      <c r="J625"/>
      <c r="K625"/>
      <c r="L625"/>
      <c r="M625"/>
      <c r="N625"/>
    </row>
    <row r="626" spans="1:14" x14ac:dyDescent="0.4">
      <c r="A626"/>
      <c r="B626"/>
      <c r="C626"/>
      <c r="D626"/>
      <c r="E626"/>
      <c r="F626"/>
      <c r="G626"/>
      <c r="H626"/>
      <c r="I626"/>
      <c r="J626"/>
      <c r="K626"/>
      <c r="L626"/>
      <c r="M626"/>
      <c r="N626"/>
    </row>
    <row r="627" spans="1:14" x14ac:dyDescent="0.4">
      <c r="A627"/>
      <c r="B627"/>
      <c r="C627"/>
      <c r="D627"/>
      <c r="E627"/>
      <c r="F627"/>
      <c r="G627"/>
      <c r="H627"/>
      <c r="I627"/>
      <c r="J627"/>
      <c r="K627"/>
      <c r="L627"/>
      <c r="M627"/>
      <c r="N627"/>
    </row>
    <row r="628" spans="1:14" x14ac:dyDescent="0.4">
      <c r="A628"/>
      <c r="B628"/>
      <c r="C628"/>
      <c r="D628"/>
      <c r="E628"/>
      <c r="F628"/>
      <c r="G628"/>
      <c r="H628"/>
      <c r="I628"/>
      <c r="J628"/>
      <c r="K628"/>
      <c r="L628"/>
      <c r="M628"/>
      <c r="N628"/>
    </row>
    <row r="629" spans="1:14" x14ac:dyDescent="0.4">
      <c r="A629"/>
      <c r="B629"/>
      <c r="C629"/>
      <c r="D629"/>
      <c r="E629"/>
      <c r="F629"/>
      <c r="G629"/>
      <c r="H629"/>
      <c r="I629"/>
      <c r="J629"/>
      <c r="K629"/>
      <c r="L629"/>
      <c r="M629"/>
      <c r="N629"/>
    </row>
    <row r="630" spans="1:14" x14ac:dyDescent="0.4">
      <c r="A630"/>
      <c r="B630"/>
      <c r="C630"/>
      <c r="D630"/>
      <c r="E630"/>
      <c r="F630"/>
      <c r="G630"/>
      <c r="H630"/>
      <c r="I630"/>
      <c r="J630"/>
      <c r="K630"/>
      <c r="L630"/>
      <c r="M630"/>
      <c r="N630"/>
    </row>
    <row r="631" spans="1:14" x14ac:dyDescent="0.4">
      <c r="A631"/>
      <c r="B631"/>
      <c r="C631"/>
      <c r="D631"/>
      <c r="E631"/>
      <c r="F631"/>
      <c r="G631"/>
      <c r="H631"/>
      <c r="I631"/>
      <c r="J631"/>
      <c r="K631"/>
      <c r="L631"/>
      <c r="M631"/>
      <c r="N631"/>
    </row>
    <row r="632" spans="1:14" x14ac:dyDescent="0.4">
      <c r="A632"/>
      <c r="B632"/>
      <c r="C632"/>
      <c r="D632"/>
      <c r="E632"/>
      <c r="F632"/>
      <c r="G632"/>
      <c r="H632"/>
      <c r="I632"/>
      <c r="J632"/>
      <c r="K632"/>
      <c r="L632"/>
      <c r="M632"/>
      <c r="N632"/>
    </row>
    <row r="633" spans="1:14" x14ac:dyDescent="0.4">
      <c r="A633"/>
      <c r="B633"/>
      <c r="C633"/>
      <c r="D633"/>
      <c r="E633"/>
      <c r="F633"/>
      <c r="G633"/>
      <c r="H633"/>
      <c r="I633"/>
      <c r="J633"/>
      <c r="K633"/>
      <c r="L633"/>
      <c r="M633"/>
      <c r="N633"/>
    </row>
    <row r="634" spans="1:14" x14ac:dyDescent="0.4">
      <c r="A634"/>
      <c r="B634"/>
      <c r="C634"/>
      <c r="D634"/>
      <c r="E634"/>
      <c r="F634"/>
      <c r="G634"/>
      <c r="H634"/>
      <c r="I634"/>
      <c r="J634"/>
      <c r="K634"/>
      <c r="L634"/>
      <c r="M634"/>
      <c r="N634"/>
    </row>
    <row r="635" spans="1:14" x14ac:dyDescent="0.4">
      <c r="A635"/>
      <c r="B635"/>
      <c r="C635"/>
      <c r="D635"/>
      <c r="E635"/>
      <c r="F635"/>
      <c r="G635"/>
      <c r="H635"/>
      <c r="I635"/>
      <c r="J635"/>
      <c r="K635"/>
      <c r="L635"/>
      <c r="M635"/>
      <c r="N635"/>
    </row>
    <row r="636" spans="1:14" x14ac:dyDescent="0.4">
      <c r="A636"/>
      <c r="B636"/>
      <c r="C636"/>
      <c r="D636"/>
      <c r="E636"/>
      <c r="F636"/>
      <c r="G636"/>
      <c r="H636"/>
      <c r="I636"/>
      <c r="J636"/>
      <c r="K636"/>
      <c r="L636"/>
      <c r="M636"/>
      <c r="N636"/>
    </row>
    <row r="637" spans="1:14" x14ac:dyDescent="0.4">
      <c r="A637"/>
      <c r="B637"/>
      <c r="C637"/>
      <c r="D637"/>
      <c r="E637"/>
      <c r="F637"/>
      <c r="G637"/>
      <c r="H637"/>
      <c r="I637"/>
      <c r="J637"/>
      <c r="K637"/>
      <c r="L637"/>
      <c r="M637"/>
      <c r="N637"/>
    </row>
    <row r="638" spans="1:14" x14ac:dyDescent="0.4">
      <c r="A638"/>
      <c r="B638"/>
      <c r="C638"/>
      <c r="D638"/>
      <c r="E638"/>
      <c r="F638"/>
      <c r="G638"/>
      <c r="H638"/>
      <c r="I638"/>
      <c r="J638"/>
      <c r="K638"/>
      <c r="L638"/>
      <c r="M638"/>
      <c r="N638"/>
    </row>
    <row r="639" spans="1:14" x14ac:dyDescent="0.4">
      <c r="A639"/>
      <c r="B639"/>
      <c r="C639"/>
      <c r="D639"/>
      <c r="E639"/>
      <c r="F639"/>
      <c r="G639"/>
      <c r="H639"/>
      <c r="I639"/>
      <c r="J639"/>
      <c r="K639"/>
      <c r="L639"/>
      <c r="M639"/>
      <c r="N639"/>
    </row>
    <row r="640" spans="1:14" x14ac:dyDescent="0.4">
      <c r="A640"/>
      <c r="B640"/>
      <c r="C640"/>
      <c r="D640"/>
      <c r="E640"/>
      <c r="F640"/>
      <c r="G640"/>
      <c r="H640"/>
      <c r="I640"/>
      <c r="J640"/>
      <c r="K640"/>
      <c r="L640"/>
      <c r="M640"/>
      <c r="N640"/>
    </row>
    <row r="641" spans="1:14" x14ac:dyDescent="0.4">
      <c r="A641"/>
      <c r="B641"/>
      <c r="C641"/>
      <c r="D641"/>
      <c r="E641"/>
      <c r="F641"/>
      <c r="G641"/>
      <c r="H641"/>
      <c r="I641"/>
      <c r="J641"/>
      <c r="K641"/>
      <c r="L641"/>
      <c r="M641"/>
      <c r="N641"/>
    </row>
    <row r="642" spans="1:14" x14ac:dyDescent="0.4">
      <c r="A642"/>
      <c r="B642"/>
      <c r="C642"/>
      <c r="D642"/>
      <c r="E642"/>
      <c r="F642"/>
      <c r="G642"/>
      <c r="H642"/>
      <c r="I642"/>
      <c r="J642"/>
      <c r="K642"/>
      <c r="L642"/>
      <c r="M642"/>
      <c r="N642"/>
    </row>
    <row r="643" spans="1:14" x14ac:dyDescent="0.4">
      <c r="A643"/>
      <c r="B643"/>
      <c r="C643"/>
      <c r="D643"/>
      <c r="E643"/>
      <c r="F643"/>
      <c r="G643"/>
      <c r="H643"/>
      <c r="I643"/>
      <c r="J643"/>
      <c r="K643"/>
      <c r="L643"/>
      <c r="M643"/>
      <c r="N643"/>
    </row>
    <row r="644" spans="1:14" x14ac:dyDescent="0.4">
      <c r="A644"/>
      <c r="B644"/>
      <c r="C644"/>
      <c r="D644"/>
      <c r="E644"/>
      <c r="F644"/>
      <c r="G644"/>
      <c r="H644"/>
      <c r="I644"/>
      <c r="J644"/>
      <c r="K644"/>
      <c r="L644"/>
      <c r="M644"/>
      <c r="N644"/>
    </row>
    <row r="645" spans="1:14" x14ac:dyDescent="0.4">
      <c r="A645"/>
      <c r="B645"/>
      <c r="C645"/>
      <c r="D645"/>
      <c r="E645"/>
      <c r="F645"/>
      <c r="G645"/>
      <c r="H645"/>
      <c r="I645"/>
      <c r="J645"/>
      <c r="K645"/>
      <c r="L645"/>
      <c r="M645"/>
      <c r="N645"/>
    </row>
    <row r="646" spans="1:14" x14ac:dyDescent="0.4">
      <c r="A646"/>
      <c r="B646"/>
      <c r="C646"/>
      <c r="D646"/>
      <c r="E646"/>
      <c r="F646"/>
      <c r="G646"/>
      <c r="H646"/>
      <c r="I646"/>
      <c r="J646"/>
      <c r="K646"/>
      <c r="L646"/>
      <c r="M646"/>
      <c r="N646"/>
    </row>
    <row r="647" spans="1:14" x14ac:dyDescent="0.4">
      <c r="A647"/>
      <c r="B647"/>
      <c r="C647"/>
      <c r="D647"/>
      <c r="E647"/>
      <c r="F647"/>
      <c r="G647"/>
      <c r="H647"/>
      <c r="I647"/>
      <c r="J647"/>
      <c r="K647"/>
      <c r="L647"/>
      <c r="M647"/>
      <c r="N647"/>
    </row>
    <row r="648" spans="1:14" x14ac:dyDescent="0.4">
      <c r="A648"/>
      <c r="B648"/>
      <c r="C648"/>
      <c r="D648"/>
      <c r="E648"/>
      <c r="F648"/>
      <c r="G648"/>
      <c r="H648"/>
      <c r="I648"/>
      <c r="J648"/>
      <c r="K648"/>
      <c r="L648"/>
      <c r="M648"/>
      <c r="N648"/>
    </row>
    <row r="649" spans="1:14" x14ac:dyDescent="0.4">
      <c r="A649"/>
      <c r="B649"/>
      <c r="C649"/>
      <c r="D649"/>
      <c r="E649"/>
      <c r="F649"/>
      <c r="G649"/>
      <c r="H649"/>
      <c r="I649"/>
      <c r="J649"/>
      <c r="K649"/>
      <c r="L649"/>
      <c r="M649"/>
      <c r="N649"/>
    </row>
    <row r="650" spans="1:14" x14ac:dyDescent="0.4">
      <c r="A650"/>
      <c r="B650"/>
      <c r="C650"/>
      <c r="D650"/>
      <c r="E650"/>
      <c r="F650"/>
      <c r="G650"/>
      <c r="H650"/>
      <c r="I650"/>
      <c r="J650"/>
      <c r="K650"/>
      <c r="L650"/>
      <c r="M650"/>
      <c r="N650"/>
    </row>
    <row r="651" spans="1:14" x14ac:dyDescent="0.4">
      <c r="A651"/>
      <c r="B651"/>
      <c r="C651"/>
      <c r="D651"/>
      <c r="E651"/>
      <c r="F651"/>
      <c r="G651"/>
      <c r="H651"/>
      <c r="I651"/>
      <c r="J651"/>
      <c r="K651"/>
      <c r="L651"/>
      <c r="M651"/>
      <c r="N651"/>
    </row>
    <row r="652" spans="1:14" x14ac:dyDescent="0.4">
      <c r="A652"/>
      <c r="B652"/>
      <c r="C652"/>
      <c r="D652"/>
      <c r="E652"/>
      <c r="F652"/>
      <c r="G652"/>
      <c r="H652"/>
      <c r="I652"/>
      <c r="J652"/>
      <c r="K652"/>
      <c r="L652"/>
      <c r="M652"/>
      <c r="N652"/>
    </row>
    <row r="653" spans="1:14" x14ac:dyDescent="0.4">
      <c r="A653"/>
      <c r="B653"/>
      <c r="C653"/>
      <c r="D653"/>
      <c r="E653"/>
      <c r="F653"/>
      <c r="G653"/>
      <c r="H653"/>
      <c r="I653"/>
      <c r="J653"/>
      <c r="K653"/>
      <c r="L653"/>
      <c r="M653"/>
      <c r="N653"/>
    </row>
    <row r="654" spans="1:14" x14ac:dyDescent="0.4">
      <c r="A654"/>
      <c r="B654"/>
      <c r="C654"/>
      <c r="D654"/>
      <c r="E654"/>
      <c r="F654"/>
      <c r="G654"/>
      <c r="H654"/>
      <c r="I654"/>
      <c r="J654"/>
      <c r="K654"/>
      <c r="L654"/>
      <c r="M654"/>
      <c r="N654"/>
    </row>
    <row r="655" spans="1:14" x14ac:dyDescent="0.4">
      <c r="A655"/>
      <c r="B655"/>
      <c r="C655"/>
      <c r="D655"/>
      <c r="E655"/>
      <c r="F655"/>
      <c r="G655"/>
      <c r="H655"/>
      <c r="I655"/>
      <c r="J655"/>
      <c r="K655"/>
      <c r="L655"/>
      <c r="M655"/>
      <c r="N655"/>
    </row>
    <row r="656" spans="1:14" x14ac:dyDescent="0.4">
      <c r="A656"/>
      <c r="B656"/>
      <c r="C656"/>
      <c r="D656"/>
      <c r="E656"/>
      <c r="F656"/>
      <c r="G656"/>
      <c r="H656"/>
      <c r="I656"/>
      <c r="J656"/>
      <c r="K656"/>
      <c r="L656"/>
      <c r="M656"/>
      <c r="N656"/>
    </row>
    <row r="657" spans="1:14" x14ac:dyDescent="0.4">
      <c r="A657"/>
      <c r="B657"/>
      <c r="C657"/>
      <c r="D657"/>
      <c r="E657"/>
      <c r="F657"/>
      <c r="G657"/>
      <c r="H657"/>
      <c r="I657"/>
      <c r="J657"/>
      <c r="K657"/>
      <c r="L657"/>
      <c r="M657"/>
      <c r="N657"/>
    </row>
    <row r="658" spans="1:14" x14ac:dyDescent="0.4">
      <c r="A658"/>
      <c r="B658"/>
      <c r="C658"/>
      <c r="D658"/>
      <c r="E658"/>
      <c r="F658"/>
      <c r="G658"/>
      <c r="H658"/>
      <c r="I658"/>
      <c r="J658"/>
      <c r="K658"/>
      <c r="L658"/>
      <c r="M658"/>
      <c r="N658"/>
    </row>
    <row r="659" spans="1:14" x14ac:dyDescent="0.4">
      <c r="A659"/>
      <c r="B659"/>
      <c r="C659"/>
      <c r="D659"/>
      <c r="E659"/>
      <c r="F659"/>
      <c r="G659"/>
      <c r="H659"/>
      <c r="I659"/>
      <c r="J659"/>
      <c r="K659"/>
      <c r="L659"/>
      <c r="M659"/>
      <c r="N659"/>
    </row>
    <row r="660" spans="1:14" x14ac:dyDescent="0.4">
      <c r="A660"/>
      <c r="B660"/>
      <c r="C660"/>
      <c r="D660"/>
      <c r="E660"/>
      <c r="F660"/>
      <c r="G660"/>
      <c r="H660"/>
      <c r="I660"/>
      <c r="J660"/>
      <c r="K660"/>
      <c r="L660"/>
      <c r="M660"/>
      <c r="N660"/>
    </row>
    <row r="661" spans="1:14" x14ac:dyDescent="0.4">
      <c r="A661"/>
      <c r="B661"/>
      <c r="C661"/>
      <c r="D661"/>
      <c r="E661"/>
      <c r="F661"/>
      <c r="G661"/>
      <c r="H661"/>
      <c r="I661"/>
      <c r="J661"/>
      <c r="K661"/>
      <c r="L661"/>
      <c r="M661"/>
      <c r="N661"/>
    </row>
    <row r="662" spans="1:14" x14ac:dyDescent="0.4">
      <c r="A662"/>
      <c r="B662"/>
      <c r="C662"/>
      <c r="D662"/>
      <c r="E662"/>
      <c r="F662"/>
      <c r="G662"/>
      <c r="H662"/>
      <c r="I662"/>
      <c r="J662"/>
      <c r="K662"/>
      <c r="L662"/>
      <c r="M662"/>
      <c r="N662"/>
    </row>
    <row r="663" spans="1:14" x14ac:dyDescent="0.4">
      <c r="A663"/>
      <c r="B663"/>
      <c r="C663"/>
      <c r="D663"/>
      <c r="E663"/>
      <c r="F663"/>
      <c r="G663"/>
      <c r="H663"/>
      <c r="I663"/>
      <c r="J663"/>
      <c r="K663"/>
      <c r="L663"/>
      <c r="M663"/>
      <c r="N663"/>
    </row>
    <row r="664" spans="1:14" x14ac:dyDescent="0.4">
      <c r="A664"/>
      <c r="B664"/>
      <c r="C664"/>
      <c r="D664"/>
      <c r="E664"/>
      <c r="F664"/>
      <c r="G664"/>
      <c r="H664"/>
      <c r="I664"/>
      <c r="J664"/>
      <c r="K664"/>
      <c r="L664"/>
      <c r="M664"/>
      <c r="N664"/>
    </row>
    <row r="665" spans="1:14" x14ac:dyDescent="0.4">
      <c r="A665"/>
      <c r="B665"/>
      <c r="C665"/>
      <c r="D665"/>
      <c r="E665"/>
      <c r="F665"/>
      <c r="G665"/>
      <c r="H665"/>
      <c r="I665"/>
      <c r="J665"/>
      <c r="K665"/>
      <c r="L665"/>
      <c r="M665"/>
      <c r="N665"/>
    </row>
    <row r="666" spans="1:14" x14ac:dyDescent="0.4">
      <c r="A666"/>
      <c r="B666"/>
      <c r="C666"/>
      <c r="D666"/>
      <c r="E666"/>
      <c r="F666"/>
      <c r="G666"/>
      <c r="H666"/>
      <c r="I666"/>
      <c r="J666"/>
      <c r="K666"/>
      <c r="L666"/>
      <c r="M666"/>
      <c r="N666"/>
    </row>
    <row r="667" spans="1:14" x14ac:dyDescent="0.4">
      <c r="A667"/>
      <c r="B667"/>
      <c r="C667"/>
      <c r="D667"/>
      <c r="E667"/>
      <c r="F667"/>
      <c r="G667"/>
      <c r="H667"/>
      <c r="I667"/>
      <c r="J667"/>
      <c r="K667"/>
      <c r="L667"/>
      <c r="M667"/>
      <c r="N667"/>
    </row>
    <row r="668" spans="1:14" x14ac:dyDescent="0.4">
      <c r="A668"/>
      <c r="B668"/>
      <c r="C668"/>
      <c r="D668"/>
      <c r="E668"/>
      <c r="F668"/>
      <c r="G668"/>
      <c r="H668"/>
      <c r="I668"/>
      <c r="J668"/>
      <c r="K668"/>
      <c r="L668"/>
      <c r="M668"/>
      <c r="N668"/>
    </row>
    <row r="669" spans="1:14" x14ac:dyDescent="0.4">
      <c r="A669"/>
      <c r="B669"/>
      <c r="C669"/>
      <c r="D669"/>
      <c r="E669"/>
      <c r="F669"/>
      <c r="G669"/>
      <c r="H669"/>
      <c r="I669"/>
      <c r="J669"/>
      <c r="K669"/>
      <c r="L669"/>
      <c r="M669"/>
      <c r="N669"/>
    </row>
    <row r="670" spans="1:14" x14ac:dyDescent="0.4">
      <c r="A670"/>
      <c r="B670"/>
      <c r="C670"/>
      <c r="D670"/>
      <c r="E670"/>
      <c r="F670"/>
      <c r="G670"/>
      <c r="H670"/>
      <c r="I670"/>
      <c r="J670"/>
      <c r="K670"/>
      <c r="L670"/>
      <c r="M670"/>
      <c r="N670"/>
    </row>
    <row r="671" spans="1:14" x14ac:dyDescent="0.4">
      <c r="A671"/>
      <c r="B671"/>
      <c r="C671"/>
      <c r="D671"/>
      <c r="E671"/>
      <c r="F671"/>
      <c r="G671"/>
      <c r="H671"/>
      <c r="I671"/>
      <c r="J671"/>
      <c r="K671"/>
      <c r="L671"/>
      <c r="M671"/>
      <c r="N671"/>
    </row>
    <row r="672" spans="1:14" x14ac:dyDescent="0.4">
      <c r="A672"/>
      <c r="B672"/>
      <c r="C672"/>
      <c r="D672"/>
      <c r="E672"/>
      <c r="F672"/>
      <c r="G672"/>
      <c r="H672"/>
      <c r="I672"/>
      <c r="J672"/>
      <c r="K672"/>
      <c r="L672"/>
      <c r="M672"/>
      <c r="N672"/>
    </row>
    <row r="673" spans="1:14" x14ac:dyDescent="0.4">
      <c r="A673"/>
      <c r="B673"/>
      <c r="C673"/>
      <c r="D673"/>
      <c r="E673"/>
      <c r="F673"/>
      <c r="G673"/>
      <c r="H673"/>
      <c r="I673"/>
      <c r="J673"/>
      <c r="K673"/>
      <c r="L673"/>
      <c r="M673"/>
      <c r="N673"/>
    </row>
    <row r="674" spans="1:14" x14ac:dyDescent="0.4">
      <c r="A674"/>
      <c r="B674"/>
      <c r="C674"/>
      <c r="D674"/>
      <c r="E674"/>
      <c r="F674"/>
      <c r="G674"/>
      <c r="H674"/>
      <c r="I674"/>
      <c r="J674"/>
      <c r="K674"/>
      <c r="L674"/>
      <c r="M674"/>
      <c r="N674"/>
    </row>
    <row r="675" spans="1:14" x14ac:dyDescent="0.4">
      <c r="A675"/>
      <c r="B675"/>
      <c r="C675"/>
      <c r="D675"/>
      <c r="E675"/>
      <c r="F675"/>
      <c r="G675"/>
      <c r="H675"/>
      <c r="I675"/>
      <c r="J675"/>
      <c r="K675"/>
      <c r="L675"/>
      <c r="M675"/>
      <c r="N675"/>
    </row>
    <row r="676" spans="1:14" x14ac:dyDescent="0.4">
      <c r="A676"/>
      <c r="B676"/>
      <c r="C676"/>
      <c r="D676"/>
      <c r="E676"/>
      <c r="F676"/>
      <c r="G676"/>
      <c r="H676"/>
      <c r="I676"/>
      <c r="J676"/>
      <c r="K676"/>
      <c r="L676"/>
      <c r="M676"/>
      <c r="N676"/>
    </row>
    <row r="677" spans="1:14" x14ac:dyDescent="0.4">
      <c r="A677"/>
      <c r="B677"/>
      <c r="C677"/>
      <c r="D677"/>
      <c r="E677"/>
      <c r="F677"/>
      <c r="G677"/>
      <c r="H677"/>
      <c r="I677"/>
      <c r="J677"/>
      <c r="K677"/>
      <c r="L677"/>
      <c r="M677"/>
      <c r="N677"/>
    </row>
    <row r="678" spans="1:14" x14ac:dyDescent="0.4">
      <c r="A678"/>
      <c r="B678"/>
      <c r="C678"/>
      <c r="D678"/>
      <c r="E678"/>
      <c r="F678"/>
      <c r="G678"/>
      <c r="H678"/>
      <c r="I678"/>
      <c r="J678"/>
      <c r="K678"/>
      <c r="L678"/>
      <c r="M678"/>
      <c r="N678"/>
    </row>
    <row r="679" spans="1:14" x14ac:dyDescent="0.4">
      <c r="A679"/>
      <c r="B679"/>
      <c r="C679"/>
      <c r="D679"/>
      <c r="E679"/>
      <c r="F679"/>
      <c r="G679"/>
      <c r="H679"/>
      <c r="I679"/>
      <c r="J679"/>
      <c r="K679"/>
      <c r="L679"/>
      <c r="M679"/>
      <c r="N679"/>
    </row>
    <row r="680" spans="1:14" x14ac:dyDescent="0.4">
      <c r="A680"/>
      <c r="B680"/>
      <c r="C680"/>
      <c r="D680"/>
      <c r="E680"/>
      <c r="F680"/>
      <c r="G680"/>
      <c r="H680"/>
      <c r="I680"/>
      <c r="J680"/>
      <c r="K680"/>
      <c r="L680"/>
      <c r="M680"/>
      <c r="N680"/>
    </row>
    <row r="681" spans="1:14" x14ac:dyDescent="0.4">
      <c r="A681"/>
      <c r="B681"/>
      <c r="C681"/>
      <c r="D681"/>
      <c r="E681"/>
      <c r="F681"/>
      <c r="G681"/>
      <c r="H681"/>
      <c r="I681"/>
      <c r="J681"/>
      <c r="K681"/>
      <c r="L681"/>
      <c r="M681"/>
      <c r="N681"/>
    </row>
    <row r="682" spans="1:14" x14ac:dyDescent="0.4">
      <c r="A682"/>
      <c r="B682"/>
      <c r="C682"/>
      <c r="D682"/>
      <c r="E682"/>
      <c r="F682"/>
      <c r="G682"/>
      <c r="H682"/>
      <c r="I682"/>
      <c r="J682"/>
      <c r="K682"/>
      <c r="L682"/>
      <c r="M682"/>
      <c r="N682"/>
    </row>
    <row r="683" spans="1:14" x14ac:dyDescent="0.4">
      <c r="A683"/>
      <c r="B683"/>
      <c r="C683"/>
      <c r="D683"/>
      <c r="E683"/>
      <c r="F683"/>
      <c r="G683"/>
      <c r="H683"/>
      <c r="I683"/>
      <c r="J683"/>
      <c r="K683"/>
      <c r="L683"/>
      <c r="M683"/>
      <c r="N683"/>
    </row>
    <row r="684" spans="1:14" x14ac:dyDescent="0.4">
      <c r="A684"/>
      <c r="B684"/>
      <c r="C684"/>
      <c r="D684"/>
      <c r="E684"/>
      <c r="F684"/>
      <c r="G684"/>
      <c r="H684"/>
      <c r="I684"/>
      <c r="J684"/>
      <c r="K684"/>
      <c r="L684"/>
      <c r="M684"/>
      <c r="N684"/>
    </row>
    <row r="685" spans="1:14" x14ac:dyDescent="0.4">
      <c r="A685"/>
      <c r="B685"/>
      <c r="C685"/>
      <c r="D685"/>
      <c r="E685"/>
      <c r="F685"/>
      <c r="G685"/>
      <c r="H685"/>
      <c r="I685"/>
      <c r="J685"/>
      <c r="K685"/>
      <c r="L685"/>
      <c r="M685"/>
      <c r="N685"/>
    </row>
    <row r="686" spans="1:14" x14ac:dyDescent="0.4">
      <c r="A686"/>
      <c r="B686"/>
      <c r="C686"/>
      <c r="D686"/>
      <c r="E686"/>
      <c r="F686"/>
      <c r="G686"/>
      <c r="H686"/>
      <c r="I686"/>
      <c r="J686"/>
      <c r="K686"/>
      <c r="L686"/>
      <c r="M686"/>
      <c r="N686"/>
    </row>
    <row r="687" spans="1:14" x14ac:dyDescent="0.4">
      <c r="A687"/>
      <c r="B687"/>
      <c r="C687"/>
      <c r="D687"/>
      <c r="E687"/>
      <c r="F687"/>
      <c r="G687"/>
      <c r="H687"/>
      <c r="I687"/>
      <c r="J687"/>
      <c r="K687"/>
      <c r="L687"/>
      <c r="M687"/>
      <c r="N687"/>
    </row>
    <row r="688" spans="1:14" x14ac:dyDescent="0.4">
      <c r="A688"/>
      <c r="B688"/>
      <c r="C688"/>
      <c r="D688"/>
      <c r="E688"/>
      <c r="F688"/>
      <c r="G688"/>
      <c r="H688"/>
      <c r="I688"/>
      <c r="J688"/>
      <c r="K688"/>
      <c r="L688"/>
      <c r="M688"/>
      <c r="N688"/>
    </row>
    <row r="689" spans="1:14" x14ac:dyDescent="0.4">
      <c r="A689"/>
      <c r="B689"/>
      <c r="C689"/>
      <c r="D689"/>
      <c r="E689"/>
      <c r="F689"/>
      <c r="G689"/>
      <c r="H689"/>
      <c r="I689"/>
      <c r="J689"/>
      <c r="K689"/>
      <c r="L689"/>
      <c r="M689"/>
      <c r="N689"/>
    </row>
    <row r="690" spans="1:14" x14ac:dyDescent="0.4">
      <c r="A690"/>
      <c r="B690"/>
      <c r="C690"/>
      <c r="D690"/>
      <c r="E690"/>
      <c r="F690"/>
      <c r="G690"/>
      <c r="H690"/>
      <c r="I690"/>
      <c r="J690"/>
      <c r="K690"/>
      <c r="L690"/>
      <c r="M690"/>
      <c r="N690"/>
    </row>
    <row r="691" spans="1:14" x14ac:dyDescent="0.4">
      <c r="A691"/>
      <c r="B691"/>
      <c r="C691"/>
      <c r="D691"/>
      <c r="E691"/>
      <c r="F691"/>
      <c r="G691"/>
      <c r="H691"/>
      <c r="I691"/>
      <c r="J691"/>
      <c r="K691"/>
      <c r="L691"/>
      <c r="M691"/>
      <c r="N691"/>
    </row>
    <row r="692" spans="1:14" x14ac:dyDescent="0.4">
      <c r="A692"/>
      <c r="B692"/>
      <c r="C692"/>
      <c r="D692"/>
      <c r="E692"/>
      <c r="F692"/>
      <c r="G692"/>
      <c r="H692"/>
      <c r="I692"/>
      <c r="J692"/>
      <c r="K692"/>
      <c r="L692"/>
      <c r="M692"/>
      <c r="N692"/>
    </row>
    <row r="693" spans="1:14" x14ac:dyDescent="0.4">
      <c r="A693"/>
      <c r="B693"/>
      <c r="C693"/>
      <c r="D693"/>
      <c r="E693"/>
      <c r="F693"/>
      <c r="G693"/>
      <c r="H693"/>
      <c r="I693"/>
      <c r="J693"/>
      <c r="K693"/>
      <c r="L693"/>
      <c r="M693"/>
      <c r="N693"/>
    </row>
    <row r="694" spans="1:14" x14ac:dyDescent="0.4">
      <c r="A694"/>
      <c r="B694"/>
      <c r="C694"/>
      <c r="D694"/>
      <c r="E694"/>
      <c r="F694"/>
      <c r="G694"/>
      <c r="H694"/>
      <c r="I694"/>
      <c r="J694"/>
      <c r="K694"/>
      <c r="L694"/>
      <c r="M694"/>
      <c r="N694"/>
    </row>
    <row r="695" spans="1:14" x14ac:dyDescent="0.4">
      <c r="A695"/>
      <c r="B695"/>
      <c r="C695"/>
      <c r="D695"/>
      <c r="E695"/>
      <c r="F695"/>
      <c r="G695"/>
      <c r="H695"/>
      <c r="I695"/>
      <c r="J695"/>
      <c r="K695"/>
      <c r="L695"/>
      <c r="M695"/>
      <c r="N695"/>
    </row>
    <row r="696" spans="1:14" x14ac:dyDescent="0.4">
      <c r="A696"/>
      <c r="B696"/>
      <c r="C696"/>
      <c r="D696"/>
      <c r="E696"/>
      <c r="F696"/>
      <c r="G696"/>
      <c r="H696"/>
      <c r="I696"/>
      <c r="J696"/>
      <c r="K696"/>
      <c r="L696"/>
      <c r="M696"/>
      <c r="N696"/>
    </row>
    <row r="697" spans="1:14" x14ac:dyDescent="0.4">
      <c r="A697"/>
      <c r="B697"/>
      <c r="C697"/>
      <c r="D697"/>
      <c r="E697"/>
      <c r="F697"/>
      <c r="G697"/>
      <c r="H697"/>
      <c r="I697"/>
      <c r="J697"/>
      <c r="K697"/>
      <c r="L697"/>
      <c r="M697"/>
      <c r="N697"/>
    </row>
    <row r="698" spans="1:14" x14ac:dyDescent="0.4">
      <c r="A698"/>
      <c r="B698"/>
      <c r="C698"/>
      <c r="D698"/>
      <c r="E698"/>
      <c r="F698"/>
      <c r="G698"/>
      <c r="H698"/>
      <c r="I698"/>
      <c r="J698"/>
      <c r="K698"/>
      <c r="L698"/>
      <c r="M698"/>
      <c r="N698"/>
    </row>
    <row r="699" spans="1:14" x14ac:dyDescent="0.4">
      <c r="A699"/>
      <c r="B699"/>
      <c r="C699"/>
      <c r="D699"/>
      <c r="E699"/>
      <c r="F699"/>
      <c r="G699"/>
      <c r="H699"/>
      <c r="I699"/>
      <c r="J699"/>
      <c r="K699"/>
      <c r="L699"/>
      <c r="M699"/>
      <c r="N699"/>
    </row>
    <row r="700" spans="1:14" x14ac:dyDescent="0.4">
      <c r="A700"/>
      <c r="B700"/>
      <c r="C700"/>
      <c r="D700"/>
      <c r="E700"/>
      <c r="F700"/>
      <c r="G700"/>
      <c r="H700"/>
      <c r="I700"/>
      <c r="J700"/>
      <c r="K700"/>
      <c r="L700"/>
      <c r="M700"/>
      <c r="N700"/>
    </row>
    <row r="701" spans="1:14" x14ac:dyDescent="0.4">
      <c r="A701"/>
      <c r="B701"/>
      <c r="C701"/>
      <c r="D701"/>
      <c r="E701"/>
      <c r="F701"/>
      <c r="G701"/>
      <c r="H701"/>
      <c r="I701"/>
      <c r="J701"/>
      <c r="K701"/>
      <c r="L701"/>
      <c r="M701"/>
      <c r="N701"/>
    </row>
    <row r="702" spans="1:14" x14ac:dyDescent="0.4">
      <c r="A702"/>
      <c r="B702"/>
      <c r="C702"/>
      <c r="D702"/>
      <c r="E702"/>
      <c r="F702"/>
      <c r="G702"/>
      <c r="H702"/>
      <c r="I702"/>
      <c r="J702"/>
      <c r="K702"/>
      <c r="L702"/>
      <c r="M702"/>
      <c r="N702"/>
    </row>
    <row r="703" spans="1:14" x14ac:dyDescent="0.4">
      <c r="A703"/>
      <c r="B703"/>
      <c r="C703"/>
      <c r="D703"/>
      <c r="E703"/>
      <c r="F703"/>
      <c r="G703"/>
      <c r="H703"/>
      <c r="I703"/>
      <c r="J703"/>
      <c r="K703"/>
      <c r="L703"/>
      <c r="M703"/>
      <c r="N703"/>
    </row>
    <row r="704" spans="1:14" x14ac:dyDescent="0.4">
      <c r="A704"/>
      <c r="B704"/>
      <c r="C704"/>
      <c r="D704"/>
      <c r="E704"/>
      <c r="F704"/>
      <c r="G704"/>
      <c r="H704"/>
      <c r="I704"/>
      <c r="J704"/>
      <c r="K704"/>
      <c r="L704"/>
      <c r="M704"/>
      <c r="N704"/>
    </row>
    <row r="705" spans="1:14" x14ac:dyDescent="0.4">
      <c r="A705"/>
      <c r="B705"/>
      <c r="C705"/>
      <c r="D705"/>
      <c r="E705"/>
      <c r="F705"/>
      <c r="G705"/>
      <c r="H705"/>
      <c r="I705"/>
      <c r="J705"/>
      <c r="K705"/>
      <c r="L705"/>
      <c r="M705"/>
      <c r="N705"/>
    </row>
    <row r="706" spans="1:14" x14ac:dyDescent="0.4">
      <c r="A706"/>
      <c r="B706"/>
      <c r="C706"/>
      <c r="D706"/>
      <c r="E706"/>
      <c r="F706"/>
      <c r="G706"/>
      <c r="H706"/>
      <c r="I706"/>
      <c r="J706"/>
      <c r="K706"/>
      <c r="L706"/>
      <c r="M706"/>
      <c r="N706"/>
    </row>
    <row r="707" spans="1:14" x14ac:dyDescent="0.4">
      <c r="A707"/>
      <c r="B707"/>
      <c r="C707"/>
      <c r="D707"/>
      <c r="E707"/>
      <c r="F707"/>
      <c r="G707"/>
      <c r="H707"/>
      <c r="I707"/>
      <c r="J707"/>
      <c r="K707"/>
      <c r="L707"/>
      <c r="M707"/>
      <c r="N707"/>
    </row>
    <row r="708" spans="1:14" x14ac:dyDescent="0.4">
      <c r="A708"/>
      <c r="B708"/>
      <c r="C708"/>
      <c r="D708"/>
      <c r="E708"/>
      <c r="F708"/>
      <c r="G708"/>
      <c r="H708"/>
      <c r="I708"/>
      <c r="J708"/>
      <c r="K708"/>
      <c r="L708"/>
      <c r="M708"/>
      <c r="N708"/>
    </row>
    <row r="709" spans="1:14" x14ac:dyDescent="0.4">
      <c r="A709"/>
      <c r="B709"/>
      <c r="C709"/>
      <c r="D709"/>
      <c r="E709"/>
      <c r="F709"/>
      <c r="G709"/>
      <c r="H709"/>
      <c r="I709"/>
      <c r="J709"/>
      <c r="K709"/>
      <c r="L709"/>
      <c r="M709"/>
      <c r="N709"/>
    </row>
    <row r="710" spans="1:14" x14ac:dyDescent="0.4">
      <c r="A710"/>
      <c r="B710"/>
      <c r="C710"/>
      <c r="D710"/>
      <c r="E710"/>
      <c r="F710"/>
      <c r="G710"/>
      <c r="H710"/>
      <c r="I710"/>
      <c r="J710"/>
      <c r="K710"/>
      <c r="L710"/>
      <c r="M710"/>
      <c r="N710"/>
    </row>
    <row r="711" spans="1:14" x14ac:dyDescent="0.4">
      <c r="A711"/>
      <c r="B711"/>
      <c r="C711"/>
      <c r="D711"/>
      <c r="E711"/>
      <c r="F711"/>
      <c r="G711"/>
      <c r="H711"/>
      <c r="I711"/>
      <c r="J711"/>
      <c r="K711"/>
      <c r="L711"/>
      <c r="M711"/>
      <c r="N711"/>
    </row>
    <row r="712" spans="1:14" x14ac:dyDescent="0.4">
      <c r="A712"/>
      <c r="B712"/>
      <c r="C712"/>
      <c r="D712"/>
      <c r="E712"/>
      <c r="F712"/>
      <c r="G712"/>
      <c r="H712"/>
      <c r="I712"/>
      <c r="J712"/>
      <c r="K712"/>
      <c r="L712"/>
      <c r="M712"/>
      <c r="N712"/>
    </row>
    <row r="713" spans="1:14" x14ac:dyDescent="0.4">
      <c r="A713"/>
      <c r="B713"/>
      <c r="C713"/>
      <c r="D713"/>
      <c r="E713"/>
      <c r="F713"/>
      <c r="G713"/>
      <c r="H713"/>
      <c r="I713"/>
      <c r="J713"/>
      <c r="K713"/>
      <c r="L713"/>
      <c r="M713"/>
      <c r="N713"/>
    </row>
    <row r="714" spans="1:14" x14ac:dyDescent="0.4">
      <c r="A714"/>
      <c r="B714"/>
      <c r="C714"/>
      <c r="D714"/>
      <c r="E714"/>
      <c r="F714"/>
      <c r="G714"/>
      <c r="H714"/>
      <c r="I714"/>
      <c r="J714"/>
      <c r="K714"/>
      <c r="L714"/>
      <c r="M714"/>
      <c r="N714"/>
    </row>
    <row r="715" spans="1:14" x14ac:dyDescent="0.4">
      <c r="A715"/>
      <c r="B715"/>
      <c r="C715"/>
      <c r="D715"/>
      <c r="E715"/>
      <c r="F715"/>
      <c r="G715"/>
      <c r="H715"/>
      <c r="I715"/>
      <c r="J715"/>
      <c r="K715"/>
      <c r="L715"/>
      <c r="M715"/>
      <c r="N715"/>
    </row>
    <row r="716" spans="1:14" x14ac:dyDescent="0.4">
      <c r="A716"/>
      <c r="B716"/>
      <c r="C716"/>
      <c r="D716"/>
      <c r="E716"/>
      <c r="F716"/>
      <c r="G716"/>
      <c r="H716"/>
      <c r="I716"/>
      <c r="J716"/>
      <c r="K716"/>
      <c r="L716"/>
      <c r="M716"/>
      <c r="N716"/>
    </row>
    <row r="717" spans="1:14" x14ac:dyDescent="0.4">
      <c r="A717"/>
      <c r="B717"/>
      <c r="C717"/>
      <c r="D717"/>
      <c r="E717"/>
      <c r="F717"/>
      <c r="G717"/>
      <c r="H717"/>
      <c r="I717"/>
      <c r="J717"/>
      <c r="K717"/>
      <c r="L717"/>
      <c r="M717"/>
      <c r="N717"/>
    </row>
    <row r="718" spans="1:14" x14ac:dyDescent="0.4">
      <c r="A718"/>
      <c r="B718"/>
      <c r="C718"/>
      <c r="D718"/>
      <c r="E718"/>
      <c r="F718"/>
      <c r="G718"/>
      <c r="H718"/>
      <c r="I718"/>
      <c r="J718"/>
      <c r="K718"/>
      <c r="L718"/>
      <c r="M718"/>
      <c r="N718"/>
    </row>
    <row r="719" spans="1:14" x14ac:dyDescent="0.4">
      <c r="A719"/>
      <c r="B719"/>
      <c r="C719"/>
      <c r="D719"/>
      <c r="E719"/>
      <c r="F719"/>
      <c r="G719"/>
      <c r="H719"/>
      <c r="I719"/>
      <c r="J719"/>
      <c r="K719"/>
      <c r="L719"/>
      <c r="M719"/>
      <c r="N719"/>
    </row>
    <row r="720" spans="1:14" x14ac:dyDescent="0.4">
      <c r="A720"/>
      <c r="B720"/>
      <c r="C720"/>
      <c r="D720"/>
      <c r="E720"/>
      <c r="F720"/>
      <c r="G720"/>
      <c r="H720"/>
      <c r="I720"/>
      <c r="J720"/>
      <c r="K720"/>
      <c r="L720"/>
      <c r="M720"/>
      <c r="N720"/>
    </row>
    <row r="721" spans="1:14" x14ac:dyDescent="0.4">
      <c r="A721"/>
      <c r="B721"/>
      <c r="C721"/>
      <c r="D721"/>
      <c r="E721"/>
      <c r="F721"/>
      <c r="G721"/>
      <c r="H721"/>
      <c r="I721"/>
      <c r="J721"/>
      <c r="K721"/>
      <c r="L721"/>
      <c r="M721"/>
      <c r="N721"/>
    </row>
    <row r="722" spans="1:14" x14ac:dyDescent="0.4">
      <c r="A722"/>
      <c r="B722"/>
      <c r="C722"/>
      <c r="D722"/>
      <c r="E722"/>
      <c r="F722"/>
      <c r="G722"/>
      <c r="H722"/>
      <c r="I722"/>
      <c r="J722"/>
      <c r="K722"/>
      <c r="L722"/>
      <c r="M722"/>
      <c r="N722"/>
    </row>
    <row r="723" spans="1:14" x14ac:dyDescent="0.4">
      <c r="A723"/>
      <c r="B723"/>
      <c r="C723"/>
      <c r="D723"/>
      <c r="E723"/>
      <c r="F723"/>
      <c r="G723"/>
      <c r="H723"/>
      <c r="I723"/>
      <c r="J723"/>
      <c r="K723"/>
      <c r="L723"/>
      <c r="M723"/>
      <c r="N723"/>
    </row>
    <row r="724" spans="1:14" x14ac:dyDescent="0.4">
      <c r="A724"/>
      <c r="B724"/>
      <c r="C724"/>
      <c r="D724"/>
      <c r="E724"/>
      <c r="F724"/>
      <c r="G724"/>
      <c r="H724"/>
      <c r="I724"/>
      <c r="J724"/>
      <c r="K724"/>
      <c r="L724"/>
      <c r="M724"/>
      <c r="N724"/>
    </row>
    <row r="725" spans="1:14" x14ac:dyDescent="0.4">
      <c r="A725"/>
      <c r="B725"/>
      <c r="C725"/>
      <c r="D725"/>
      <c r="E725"/>
      <c r="F725"/>
      <c r="G725"/>
      <c r="H725"/>
      <c r="I725"/>
      <c r="J725"/>
      <c r="K725"/>
      <c r="L725"/>
      <c r="M725"/>
      <c r="N725"/>
    </row>
    <row r="726" spans="1:14" x14ac:dyDescent="0.4">
      <c r="A726"/>
      <c r="B726"/>
      <c r="C726"/>
      <c r="D726"/>
      <c r="E726"/>
      <c r="F726"/>
      <c r="G726"/>
      <c r="H726"/>
      <c r="I726"/>
      <c r="J726"/>
      <c r="K726"/>
      <c r="L726"/>
      <c r="M726"/>
      <c r="N726"/>
    </row>
    <row r="727" spans="1:14" x14ac:dyDescent="0.4">
      <c r="A727"/>
      <c r="B727"/>
      <c r="C727"/>
      <c r="D727"/>
      <c r="E727"/>
      <c r="F727"/>
      <c r="G727"/>
      <c r="H727"/>
      <c r="I727"/>
      <c r="J727"/>
      <c r="K727"/>
      <c r="L727"/>
      <c r="M727"/>
      <c r="N727"/>
    </row>
    <row r="728" spans="1:14" x14ac:dyDescent="0.4">
      <c r="A728"/>
      <c r="B728"/>
      <c r="C728"/>
      <c r="D728"/>
      <c r="E728"/>
      <c r="F728"/>
      <c r="G728"/>
      <c r="H728"/>
      <c r="I728"/>
      <c r="J728"/>
      <c r="K728"/>
      <c r="L728"/>
      <c r="M728"/>
      <c r="N728"/>
    </row>
    <row r="729" spans="1:14" x14ac:dyDescent="0.4">
      <c r="A729"/>
      <c r="B729"/>
      <c r="C729"/>
      <c r="D729"/>
      <c r="E729"/>
      <c r="F729"/>
      <c r="G729"/>
      <c r="H729"/>
      <c r="I729"/>
      <c r="J729"/>
      <c r="K729"/>
      <c r="L729"/>
      <c r="M729"/>
      <c r="N729"/>
    </row>
    <row r="730" spans="1:14" x14ac:dyDescent="0.4">
      <c r="A730"/>
      <c r="B730"/>
      <c r="C730"/>
      <c r="D730"/>
      <c r="E730"/>
      <c r="F730"/>
      <c r="G730"/>
      <c r="H730"/>
      <c r="I730"/>
      <c r="J730"/>
      <c r="K730"/>
      <c r="L730"/>
      <c r="M730"/>
      <c r="N730"/>
    </row>
    <row r="731" spans="1:14" x14ac:dyDescent="0.4">
      <c r="A731"/>
      <c r="B731"/>
      <c r="C731"/>
      <c r="D731"/>
      <c r="E731"/>
      <c r="F731"/>
      <c r="G731"/>
      <c r="H731"/>
      <c r="I731"/>
      <c r="J731"/>
      <c r="K731"/>
      <c r="L731"/>
      <c r="M731"/>
      <c r="N731"/>
    </row>
    <row r="732" spans="1:14" x14ac:dyDescent="0.4">
      <c r="A732"/>
      <c r="B732"/>
      <c r="C732"/>
      <c r="D732"/>
      <c r="E732"/>
      <c r="F732"/>
      <c r="G732"/>
      <c r="H732"/>
      <c r="I732"/>
      <c r="J732"/>
      <c r="K732"/>
      <c r="L732"/>
      <c r="M732"/>
      <c r="N732"/>
    </row>
    <row r="733" spans="1:14" x14ac:dyDescent="0.4">
      <c r="A733"/>
      <c r="B733"/>
      <c r="C733"/>
      <c r="D733"/>
      <c r="E733"/>
      <c r="F733"/>
      <c r="G733"/>
      <c r="H733"/>
      <c r="I733"/>
      <c r="J733"/>
      <c r="K733"/>
      <c r="L733"/>
      <c r="M733"/>
      <c r="N733"/>
    </row>
    <row r="734" spans="1:14" x14ac:dyDescent="0.4">
      <c r="A734"/>
      <c r="B734"/>
      <c r="C734"/>
      <c r="D734"/>
      <c r="E734"/>
      <c r="F734"/>
      <c r="G734"/>
      <c r="H734"/>
      <c r="I734"/>
      <c r="J734"/>
      <c r="K734"/>
      <c r="L734"/>
      <c r="M734"/>
      <c r="N734"/>
    </row>
    <row r="735" spans="1:14" x14ac:dyDescent="0.4">
      <c r="A735"/>
      <c r="B735"/>
      <c r="C735"/>
      <c r="D735"/>
      <c r="E735"/>
      <c r="F735"/>
      <c r="G735"/>
      <c r="H735"/>
      <c r="I735"/>
      <c r="J735"/>
      <c r="K735"/>
      <c r="L735"/>
      <c r="M735"/>
      <c r="N735"/>
    </row>
    <row r="736" spans="1:14" x14ac:dyDescent="0.4">
      <c r="A736"/>
      <c r="B736"/>
      <c r="C736"/>
      <c r="D736"/>
      <c r="E736"/>
      <c r="F736"/>
      <c r="G736"/>
      <c r="H736"/>
      <c r="I736"/>
      <c r="J736"/>
      <c r="K736"/>
      <c r="L736"/>
      <c r="M736"/>
      <c r="N736"/>
    </row>
    <row r="737" spans="1:14" x14ac:dyDescent="0.4">
      <c r="A737"/>
      <c r="B737"/>
      <c r="C737"/>
      <c r="D737"/>
      <c r="E737"/>
      <c r="F737"/>
      <c r="G737"/>
      <c r="H737"/>
      <c r="I737"/>
      <c r="J737"/>
      <c r="K737"/>
      <c r="L737"/>
      <c r="M737"/>
      <c r="N737"/>
    </row>
    <row r="738" spans="1:14" x14ac:dyDescent="0.4">
      <c r="A738"/>
      <c r="B738"/>
      <c r="C738"/>
      <c r="D738"/>
      <c r="E738"/>
      <c r="F738"/>
      <c r="G738"/>
      <c r="H738"/>
      <c r="I738"/>
      <c r="J738"/>
      <c r="K738"/>
      <c r="L738"/>
      <c r="M738"/>
      <c r="N738"/>
    </row>
    <row r="739" spans="1:14" x14ac:dyDescent="0.4">
      <c r="A739"/>
      <c r="B739"/>
      <c r="C739"/>
      <c r="D739"/>
      <c r="E739"/>
      <c r="F739"/>
      <c r="G739"/>
      <c r="H739"/>
      <c r="I739"/>
      <c r="J739"/>
      <c r="K739"/>
      <c r="L739"/>
      <c r="M739"/>
      <c r="N739"/>
    </row>
    <row r="740" spans="1:14" x14ac:dyDescent="0.4">
      <c r="A740"/>
      <c r="B740"/>
      <c r="C740"/>
      <c r="D740"/>
      <c r="E740"/>
      <c r="F740"/>
      <c r="G740"/>
      <c r="H740"/>
      <c r="I740"/>
      <c r="J740"/>
      <c r="K740"/>
      <c r="L740"/>
      <c r="M740"/>
      <c r="N740"/>
    </row>
    <row r="741" spans="1:14" x14ac:dyDescent="0.4">
      <c r="A741"/>
      <c r="B741"/>
      <c r="C741"/>
      <c r="D741"/>
      <c r="E741"/>
      <c r="F741"/>
      <c r="G741"/>
      <c r="H741"/>
      <c r="I741"/>
      <c r="J741"/>
      <c r="K741"/>
      <c r="L741"/>
      <c r="M741"/>
      <c r="N741"/>
    </row>
    <row r="742" spans="1:14" x14ac:dyDescent="0.4">
      <c r="A742"/>
      <c r="B742"/>
      <c r="C742"/>
      <c r="D742"/>
      <c r="E742"/>
      <c r="F742"/>
      <c r="G742"/>
      <c r="H742"/>
      <c r="I742"/>
      <c r="J742"/>
      <c r="K742"/>
      <c r="L742"/>
      <c r="M742"/>
      <c r="N742"/>
    </row>
    <row r="743" spans="1:14" x14ac:dyDescent="0.4">
      <c r="A743"/>
      <c r="B743"/>
      <c r="C743"/>
      <c r="D743"/>
      <c r="E743"/>
      <c r="F743"/>
      <c r="G743"/>
      <c r="H743"/>
      <c r="I743"/>
      <c r="J743"/>
      <c r="K743"/>
      <c r="L743"/>
      <c r="M743"/>
      <c r="N743"/>
    </row>
    <row r="744" spans="1:14" x14ac:dyDescent="0.4">
      <c r="A744"/>
      <c r="B744"/>
      <c r="C744"/>
      <c r="D744"/>
      <c r="E744"/>
      <c r="F744"/>
      <c r="G744"/>
      <c r="H744"/>
      <c r="I744"/>
      <c r="J744"/>
      <c r="K744"/>
      <c r="L744"/>
      <c r="M744"/>
      <c r="N744"/>
    </row>
    <row r="745" spans="1:14" x14ac:dyDescent="0.4">
      <c r="A745"/>
      <c r="B745"/>
      <c r="C745"/>
      <c r="D745"/>
      <c r="E745"/>
      <c r="F745"/>
      <c r="G745"/>
      <c r="H745"/>
      <c r="I745"/>
      <c r="J745"/>
      <c r="K745"/>
      <c r="L745"/>
      <c r="M745"/>
      <c r="N745"/>
    </row>
    <row r="746" spans="1:14" x14ac:dyDescent="0.4">
      <c r="A746"/>
      <c r="B746"/>
      <c r="C746"/>
      <c r="D746"/>
      <c r="E746"/>
      <c r="F746"/>
      <c r="G746"/>
      <c r="H746"/>
      <c r="I746"/>
      <c r="J746"/>
      <c r="K746"/>
      <c r="L746"/>
      <c r="M746"/>
      <c r="N746"/>
    </row>
    <row r="747" spans="1:14" x14ac:dyDescent="0.4">
      <c r="A747"/>
      <c r="B747"/>
      <c r="C747"/>
      <c r="D747"/>
      <c r="E747"/>
      <c r="F747"/>
      <c r="G747"/>
      <c r="H747"/>
      <c r="I747"/>
      <c r="J747"/>
      <c r="K747"/>
      <c r="L747"/>
      <c r="M747"/>
      <c r="N747"/>
    </row>
    <row r="748" spans="1:14" x14ac:dyDescent="0.4">
      <c r="A748"/>
      <c r="B748"/>
      <c r="C748"/>
      <c r="D748"/>
      <c r="E748"/>
      <c r="F748"/>
      <c r="G748"/>
      <c r="H748"/>
      <c r="I748"/>
      <c r="J748"/>
      <c r="K748"/>
      <c r="L748"/>
      <c r="M748"/>
      <c r="N748"/>
    </row>
    <row r="749" spans="1:14" x14ac:dyDescent="0.4">
      <c r="A749"/>
      <c r="B749"/>
      <c r="C749"/>
      <c r="D749"/>
      <c r="E749"/>
      <c r="F749"/>
      <c r="G749"/>
      <c r="H749"/>
      <c r="I749"/>
      <c r="J749"/>
      <c r="K749"/>
      <c r="L749"/>
      <c r="M749"/>
      <c r="N749"/>
    </row>
    <row r="750" spans="1:14" x14ac:dyDescent="0.4">
      <c r="A750"/>
      <c r="B750"/>
      <c r="C750"/>
      <c r="D750"/>
      <c r="E750"/>
      <c r="F750"/>
      <c r="G750"/>
      <c r="H750"/>
      <c r="I750"/>
      <c r="J750"/>
      <c r="K750"/>
      <c r="L750"/>
      <c r="M750"/>
      <c r="N750"/>
    </row>
    <row r="751" spans="1:14" x14ac:dyDescent="0.4">
      <c r="A751"/>
      <c r="B751"/>
      <c r="C751"/>
      <c r="D751"/>
      <c r="E751"/>
      <c r="F751"/>
      <c r="G751"/>
      <c r="H751"/>
      <c r="I751"/>
      <c r="J751"/>
      <c r="K751"/>
      <c r="L751"/>
      <c r="M751"/>
      <c r="N751"/>
    </row>
    <row r="752" spans="1:14" x14ac:dyDescent="0.4">
      <c r="A752"/>
      <c r="B752"/>
      <c r="C752"/>
      <c r="D752"/>
      <c r="E752"/>
      <c r="F752"/>
      <c r="G752"/>
      <c r="H752"/>
      <c r="I752"/>
      <c r="J752"/>
      <c r="K752"/>
      <c r="L752"/>
      <c r="M752"/>
      <c r="N752"/>
    </row>
    <row r="753" spans="1:14" x14ac:dyDescent="0.4">
      <c r="A753"/>
      <c r="B753"/>
      <c r="C753"/>
      <c r="D753"/>
      <c r="E753"/>
      <c r="F753"/>
      <c r="G753"/>
      <c r="H753"/>
      <c r="I753"/>
      <c r="J753"/>
      <c r="K753"/>
      <c r="L753"/>
      <c r="M753"/>
      <c r="N753"/>
    </row>
    <row r="754" spans="1:14" x14ac:dyDescent="0.4">
      <c r="A754"/>
      <c r="B754"/>
      <c r="C754"/>
      <c r="D754"/>
      <c r="E754"/>
      <c r="F754"/>
      <c r="G754"/>
      <c r="H754"/>
      <c r="I754"/>
      <c r="J754"/>
      <c r="K754"/>
      <c r="L754"/>
      <c r="M754"/>
      <c r="N754"/>
    </row>
    <row r="755" spans="1:14" x14ac:dyDescent="0.4">
      <c r="A755"/>
      <c r="B755"/>
      <c r="C755"/>
      <c r="D755"/>
      <c r="E755"/>
      <c r="F755"/>
      <c r="G755"/>
      <c r="H755"/>
      <c r="I755"/>
      <c r="J755"/>
      <c r="K755"/>
      <c r="L755"/>
      <c r="M755"/>
      <c r="N755"/>
    </row>
    <row r="756" spans="1:14" x14ac:dyDescent="0.4">
      <c r="A756"/>
      <c r="B756"/>
      <c r="C756"/>
      <c r="D756"/>
      <c r="E756"/>
      <c r="F756"/>
      <c r="G756"/>
      <c r="H756"/>
      <c r="I756"/>
      <c r="J756"/>
      <c r="K756"/>
      <c r="L756"/>
      <c r="M756"/>
      <c r="N756"/>
    </row>
    <row r="757" spans="1:14" x14ac:dyDescent="0.4">
      <c r="A757"/>
      <c r="B757"/>
      <c r="C757"/>
      <c r="D757"/>
      <c r="E757"/>
      <c r="F757"/>
      <c r="G757"/>
      <c r="H757"/>
      <c r="I757"/>
      <c r="J757"/>
      <c r="K757"/>
      <c r="L757"/>
      <c r="M757"/>
      <c r="N757"/>
    </row>
    <row r="758" spans="1:14" x14ac:dyDescent="0.4">
      <c r="A758"/>
      <c r="B758"/>
      <c r="C758"/>
      <c r="D758"/>
      <c r="E758"/>
      <c r="F758"/>
      <c r="G758"/>
      <c r="H758"/>
      <c r="I758"/>
      <c r="J758"/>
      <c r="K758"/>
      <c r="L758"/>
      <c r="M758"/>
      <c r="N758"/>
    </row>
    <row r="759" spans="1:14" x14ac:dyDescent="0.4">
      <c r="A759"/>
      <c r="B759"/>
      <c r="C759"/>
      <c r="D759"/>
      <c r="E759"/>
      <c r="F759"/>
      <c r="G759"/>
      <c r="H759"/>
      <c r="I759"/>
      <c r="J759"/>
      <c r="K759"/>
      <c r="L759"/>
      <c r="M759"/>
      <c r="N759"/>
    </row>
    <row r="760" spans="1:14" x14ac:dyDescent="0.4">
      <c r="A760"/>
      <c r="B760"/>
      <c r="C760"/>
      <c r="D760"/>
      <c r="E760"/>
      <c r="F760"/>
      <c r="G760"/>
      <c r="H760"/>
      <c r="I760"/>
      <c r="J760"/>
      <c r="K760"/>
      <c r="L760"/>
      <c r="M760"/>
      <c r="N760"/>
    </row>
    <row r="761" spans="1:14" x14ac:dyDescent="0.4">
      <c r="A761"/>
      <c r="B761"/>
      <c r="C761"/>
      <c r="D761"/>
      <c r="E761"/>
      <c r="F761"/>
      <c r="G761"/>
      <c r="H761"/>
      <c r="I761"/>
      <c r="J761"/>
      <c r="K761"/>
      <c r="L761"/>
      <c r="M761"/>
      <c r="N761"/>
    </row>
    <row r="762" spans="1:14" x14ac:dyDescent="0.4">
      <c r="A762"/>
      <c r="B762"/>
      <c r="C762"/>
      <c r="D762"/>
      <c r="E762"/>
      <c r="F762"/>
      <c r="G762"/>
      <c r="H762"/>
      <c r="I762"/>
      <c r="J762"/>
      <c r="K762"/>
      <c r="L762"/>
      <c r="M762"/>
      <c r="N762"/>
    </row>
    <row r="763" spans="1:14" x14ac:dyDescent="0.4">
      <c r="A763"/>
      <c r="B763"/>
      <c r="C763"/>
      <c r="D763"/>
      <c r="E763"/>
      <c r="F763"/>
      <c r="G763"/>
      <c r="H763"/>
      <c r="I763"/>
      <c r="J763"/>
      <c r="K763"/>
      <c r="L763"/>
      <c r="M763"/>
      <c r="N763"/>
    </row>
    <row r="764" spans="1:14" x14ac:dyDescent="0.4">
      <c r="A764"/>
      <c r="B764"/>
      <c r="C764"/>
      <c r="D764"/>
      <c r="E764"/>
      <c r="F764"/>
      <c r="G764"/>
      <c r="H764"/>
      <c r="I764"/>
      <c r="J764"/>
      <c r="K764"/>
      <c r="L764"/>
      <c r="M764"/>
      <c r="N764"/>
    </row>
    <row r="765" spans="1:14" x14ac:dyDescent="0.4">
      <c r="A765"/>
      <c r="B765"/>
      <c r="C765"/>
      <c r="D765"/>
      <c r="E765"/>
      <c r="F765"/>
      <c r="G765"/>
      <c r="H765"/>
      <c r="I765"/>
      <c r="J765"/>
      <c r="K765"/>
      <c r="L765"/>
      <c r="M765"/>
      <c r="N765"/>
    </row>
    <row r="766" spans="1:14" x14ac:dyDescent="0.4">
      <c r="A766"/>
      <c r="B766"/>
      <c r="C766"/>
      <c r="D766"/>
      <c r="E766"/>
      <c r="F766"/>
      <c r="G766"/>
      <c r="H766"/>
      <c r="I766"/>
      <c r="J766"/>
      <c r="K766"/>
      <c r="L766"/>
      <c r="M766"/>
      <c r="N766"/>
    </row>
    <row r="767" spans="1:14" x14ac:dyDescent="0.4">
      <c r="A767"/>
      <c r="B767"/>
      <c r="C767"/>
      <c r="D767"/>
      <c r="E767"/>
      <c r="F767"/>
      <c r="G767"/>
      <c r="H767"/>
      <c r="I767"/>
      <c r="J767"/>
      <c r="K767"/>
      <c r="L767"/>
      <c r="M767"/>
      <c r="N767"/>
    </row>
    <row r="768" spans="1:14" x14ac:dyDescent="0.4">
      <c r="A768"/>
      <c r="B768"/>
      <c r="C768"/>
      <c r="D768"/>
      <c r="E768"/>
      <c r="F768"/>
      <c r="G768"/>
      <c r="H768"/>
      <c r="I768"/>
      <c r="J768"/>
      <c r="K768"/>
      <c r="L768"/>
      <c r="M768"/>
      <c r="N768"/>
    </row>
    <row r="769" spans="1:14" x14ac:dyDescent="0.4">
      <c r="A769"/>
      <c r="B769"/>
      <c r="C769"/>
      <c r="D769"/>
      <c r="E769"/>
      <c r="F769"/>
      <c r="G769"/>
      <c r="H769"/>
      <c r="I769"/>
      <c r="J769"/>
      <c r="K769"/>
      <c r="L769"/>
      <c r="M769"/>
      <c r="N769"/>
    </row>
    <row r="770" spans="1:14" x14ac:dyDescent="0.4">
      <c r="A770"/>
      <c r="B770"/>
      <c r="C770"/>
      <c r="D770"/>
      <c r="E770"/>
      <c r="F770"/>
      <c r="G770"/>
      <c r="H770"/>
      <c r="I770"/>
      <c r="J770"/>
      <c r="K770"/>
      <c r="L770"/>
      <c r="M770"/>
      <c r="N770"/>
    </row>
    <row r="771" spans="1:14" x14ac:dyDescent="0.4">
      <c r="A771"/>
      <c r="B771"/>
      <c r="C771"/>
      <c r="D771"/>
      <c r="E771"/>
      <c r="F771"/>
      <c r="G771"/>
      <c r="H771"/>
      <c r="I771"/>
      <c r="J771"/>
      <c r="K771"/>
      <c r="L771"/>
      <c r="M771"/>
      <c r="N771"/>
    </row>
    <row r="772" spans="1:14" x14ac:dyDescent="0.4">
      <c r="A772"/>
      <c r="B772"/>
      <c r="C772"/>
      <c r="D772"/>
      <c r="E772"/>
      <c r="F772"/>
      <c r="G772"/>
      <c r="H772"/>
      <c r="I772"/>
      <c r="J772"/>
      <c r="K772"/>
      <c r="L772"/>
      <c r="M772"/>
      <c r="N772"/>
    </row>
    <row r="773" spans="1:14" x14ac:dyDescent="0.4">
      <c r="A773"/>
      <c r="B773"/>
      <c r="C773"/>
      <c r="D773"/>
      <c r="E773"/>
      <c r="F773"/>
      <c r="G773"/>
      <c r="H773"/>
      <c r="I773"/>
      <c r="J773"/>
      <c r="K773"/>
      <c r="L773"/>
      <c r="M773"/>
      <c r="N773"/>
    </row>
    <row r="774" spans="1:14" x14ac:dyDescent="0.4">
      <c r="A774"/>
      <c r="B774"/>
      <c r="C774"/>
      <c r="D774"/>
      <c r="E774"/>
      <c r="F774"/>
      <c r="G774"/>
      <c r="H774"/>
      <c r="I774"/>
      <c r="J774"/>
      <c r="K774"/>
      <c r="L774"/>
      <c r="M774"/>
      <c r="N774"/>
    </row>
    <row r="775" spans="1:14" x14ac:dyDescent="0.4">
      <c r="A775"/>
      <c r="B775"/>
      <c r="C775"/>
      <c r="D775"/>
      <c r="E775"/>
      <c r="F775"/>
      <c r="G775"/>
      <c r="H775"/>
      <c r="I775"/>
      <c r="J775"/>
      <c r="K775"/>
      <c r="L775"/>
      <c r="M775"/>
      <c r="N775"/>
    </row>
    <row r="776" spans="1:14" x14ac:dyDescent="0.4">
      <c r="A776"/>
      <c r="B776"/>
      <c r="C776"/>
      <c r="D776"/>
      <c r="E776"/>
      <c r="F776"/>
      <c r="G776"/>
      <c r="H776"/>
      <c r="I776"/>
      <c r="J776"/>
      <c r="K776"/>
      <c r="L776"/>
      <c r="M776"/>
      <c r="N776"/>
    </row>
    <row r="777" spans="1:14" x14ac:dyDescent="0.4">
      <c r="A777"/>
      <c r="B777"/>
      <c r="C777"/>
      <c r="D777"/>
      <c r="E777"/>
      <c r="F777"/>
      <c r="G777"/>
      <c r="H777"/>
      <c r="I777"/>
      <c r="J777"/>
      <c r="K777"/>
      <c r="L777"/>
      <c r="M777"/>
      <c r="N777"/>
    </row>
    <row r="778" spans="1:14" x14ac:dyDescent="0.4">
      <c r="A778"/>
      <c r="B778"/>
      <c r="C778"/>
      <c r="D778"/>
      <c r="E778"/>
      <c r="F778"/>
      <c r="G778"/>
      <c r="H778"/>
      <c r="I778"/>
      <c r="J778"/>
      <c r="K778"/>
      <c r="L778"/>
      <c r="M778"/>
      <c r="N778"/>
    </row>
    <row r="779" spans="1:14" x14ac:dyDescent="0.4">
      <c r="A779"/>
      <c r="B779"/>
      <c r="C779"/>
      <c r="D779"/>
      <c r="E779"/>
      <c r="F779"/>
      <c r="G779"/>
      <c r="H779"/>
      <c r="I779"/>
      <c r="J779"/>
      <c r="K779"/>
      <c r="L779"/>
      <c r="M779"/>
      <c r="N779"/>
    </row>
    <row r="780" spans="1:14" x14ac:dyDescent="0.4">
      <c r="A780"/>
      <c r="B780"/>
      <c r="C780"/>
      <c r="D780"/>
      <c r="E780"/>
      <c r="F780"/>
      <c r="G780"/>
      <c r="H780"/>
      <c r="I780"/>
      <c r="J780"/>
      <c r="K780"/>
      <c r="L780"/>
      <c r="M780"/>
      <c r="N780"/>
    </row>
    <row r="781" spans="1:14" x14ac:dyDescent="0.4">
      <c r="A781"/>
      <c r="B781"/>
      <c r="C781"/>
      <c r="D781"/>
      <c r="E781"/>
      <c r="F781"/>
      <c r="G781"/>
      <c r="H781"/>
      <c r="I781"/>
      <c r="J781"/>
      <c r="K781"/>
      <c r="L781"/>
      <c r="M781"/>
      <c r="N781"/>
    </row>
    <row r="782" spans="1:14" x14ac:dyDescent="0.4">
      <c r="A782"/>
      <c r="B782"/>
      <c r="C782"/>
      <c r="D782"/>
      <c r="E782"/>
      <c r="F782"/>
      <c r="G782"/>
      <c r="H782"/>
      <c r="I782"/>
      <c r="J782"/>
      <c r="K782"/>
      <c r="L782"/>
      <c r="M782"/>
      <c r="N782"/>
    </row>
    <row r="783" spans="1:14" x14ac:dyDescent="0.4">
      <c r="A783"/>
      <c r="B783"/>
      <c r="C783"/>
      <c r="D783"/>
      <c r="E783"/>
      <c r="F783"/>
      <c r="G783"/>
      <c r="H783"/>
      <c r="I783"/>
      <c r="J783"/>
      <c r="K783"/>
      <c r="L783"/>
      <c r="M783"/>
      <c r="N783"/>
    </row>
    <row r="784" spans="1:14" x14ac:dyDescent="0.4">
      <c r="A784"/>
      <c r="B784"/>
      <c r="C784"/>
      <c r="D784"/>
      <c r="E784"/>
      <c r="F784"/>
      <c r="G784"/>
      <c r="H784"/>
      <c r="I784"/>
      <c r="J784"/>
      <c r="K784"/>
      <c r="L784"/>
      <c r="M784"/>
      <c r="N784"/>
    </row>
    <row r="785" spans="1:14" x14ac:dyDescent="0.4">
      <c r="A785"/>
      <c r="B785"/>
      <c r="C785"/>
      <c r="D785"/>
      <c r="E785"/>
      <c r="F785"/>
      <c r="G785"/>
      <c r="H785"/>
      <c r="I785"/>
      <c r="J785"/>
      <c r="K785"/>
      <c r="L785"/>
      <c r="M785"/>
      <c r="N785"/>
    </row>
    <row r="786" spans="1:14" x14ac:dyDescent="0.4">
      <c r="A786"/>
      <c r="B786"/>
      <c r="C786"/>
      <c r="D786"/>
      <c r="E786"/>
      <c r="F786"/>
      <c r="G786"/>
      <c r="H786"/>
      <c r="I786"/>
      <c r="J786"/>
      <c r="K786"/>
      <c r="L786"/>
      <c r="M786"/>
      <c r="N786"/>
    </row>
    <row r="787" spans="1:14" x14ac:dyDescent="0.4">
      <c r="A787"/>
      <c r="B787"/>
      <c r="C787"/>
      <c r="D787"/>
      <c r="E787"/>
      <c r="F787"/>
      <c r="G787"/>
      <c r="H787"/>
      <c r="I787"/>
      <c r="J787"/>
      <c r="K787"/>
      <c r="L787"/>
      <c r="M787"/>
      <c r="N787"/>
    </row>
    <row r="788" spans="1:14" x14ac:dyDescent="0.4">
      <c r="A788"/>
      <c r="B788"/>
      <c r="C788"/>
      <c r="D788"/>
      <c r="E788"/>
      <c r="F788"/>
      <c r="G788"/>
      <c r="H788"/>
      <c r="I788"/>
      <c r="J788"/>
      <c r="K788"/>
      <c r="L788"/>
      <c r="M788"/>
      <c r="N788"/>
    </row>
    <row r="789" spans="1:14" x14ac:dyDescent="0.4">
      <c r="A789"/>
      <c r="B789"/>
      <c r="C789"/>
      <c r="D789"/>
      <c r="E789"/>
      <c r="F789"/>
      <c r="G789"/>
      <c r="H789"/>
      <c r="I789"/>
      <c r="J789"/>
      <c r="K789"/>
      <c r="L789"/>
      <c r="M789"/>
      <c r="N789"/>
    </row>
    <row r="790" spans="1:14" x14ac:dyDescent="0.4">
      <c r="A790"/>
      <c r="B790"/>
      <c r="C790"/>
      <c r="D790"/>
      <c r="E790"/>
      <c r="F790"/>
      <c r="G790"/>
      <c r="H790"/>
      <c r="I790"/>
      <c r="J790"/>
      <c r="K790"/>
      <c r="L790"/>
      <c r="M790"/>
      <c r="N790"/>
    </row>
    <row r="791" spans="1:14" x14ac:dyDescent="0.4">
      <c r="A791"/>
      <c r="B791"/>
      <c r="C791"/>
      <c r="D791"/>
      <c r="E791"/>
      <c r="F791"/>
      <c r="G791"/>
      <c r="H791"/>
      <c r="I791"/>
      <c r="J791"/>
      <c r="K791"/>
      <c r="L791"/>
      <c r="M791"/>
      <c r="N791"/>
    </row>
    <row r="792" spans="1:14" x14ac:dyDescent="0.4">
      <c r="A792"/>
      <c r="B792"/>
      <c r="C792"/>
      <c r="D792"/>
      <c r="E792"/>
      <c r="F792"/>
      <c r="G792"/>
      <c r="H792"/>
      <c r="I792"/>
      <c r="J792"/>
      <c r="K792"/>
      <c r="L792"/>
      <c r="M792"/>
      <c r="N792"/>
    </row>
    <row r="793" spans="1:14" x14ac:dyDescent="0.4">
      <c r="A793"/>
      <c r="B793"/>
      <c r="C793"/>
      <c r="D793"/>
      <c r="E793"/>
      <c r="F793"/>
      <c r="G793"/>
      <c r="H793"/>
      <c r="I793"/>
      <c r="J793"/>
      <c r="K793"/>
      <c r="L793"/>
      <c r="M793"/>
      <c r="N793"/>
    </row>
    <row r="794" spans="1:14" x14ac:dyDescent="0.4">
      <c r="A794"/>
      <c r="B794"/>
      <c r="C794"/>
      <c r="D794"/>
      <c r="E794"/>
      <c r="F794"/>
      <c r="G794"/>
      <c r="H794"/>
      <c r="I794"/>
      <c r="J794"/>
      <c r="K794"/>
      <c r="L794"/>
      <c r="M794"/>
      <c r="N794"/>
    </row>
    <row r="795" spans="1:14" x14ac:dyDescent="0.4">
      <c r="A795"/>
      <c r="B795"/>
      <c r="C795"/>
      <c r="D795"/>
      <c r="E795"/>
      <c r="F795"/>
      <c r="G795"/>
      <c r="H795"/>
      <c r="I795"/>
      <c r="J795"/>
      <c r="K795"/>
      <c r="L795"/>
      <c r="M795"/>
      <c r="N795"/>
    </row>
    <row r="796" spans="1:14" x14ac:dyDescent="0.4">
      <c r="A796"/>
      <c r="B796"/>
      <c r="C796"/>
      <c r="D796"/>
      <c r="E796"/>
      <c r="F796"/>
      <c r="G796"/>
      <c r="H796"/>
      <c r="I796"/>
      <c r="J796"/>
      <c r="K796"/>
      <c r="L796"/>
      <c r="M796"/>
      <c r="N796"/>
    </row>
    <row r="797" spans="1:14" x14ac:dyDescent="0.4">
      <c r="A797"/>
      <c r="B797"/>
      <c r="C797"/>
      <c r="D797"/>
      <c r="E797"/>
      <c r="F797"/>
      <c r="G797"/>
      <c r="H797"/>
      <c r="I797"/>
      <c r="J797"/>
      <c r="K797"/>
      <c r="L797"/>
      <c r="M797"/>
      <c r="N797"/>
    </row>
    <row r="798" spans="1:14" x14ac:dyDescent="0.4">
      <c r="A798"/>
      <c r="B798"/>
      <c r="C798"/>
      <c r="D798"/>
      <c r="E798"/>
      <c r="F798"/>
      <c r="G798"/>
      <c r="H798"/>
      <c r="I798"/>
      <c r="J798"/>
      <c r="K798"/>
      <c r="L798"/>
      <c r="M798"/>
      <c r="N798"/>
    </row>
    <row r="799" spans="1:14" x14ac:dyDescent="0.4">
      <c r="A799"/>
      <c r="B799"/>
      <c r="C799"/>
      <c r="D799"/>
      <c r="E799"/>
      <c r="F799"/>
      <c r="G799"/>
      <c r="H799"/>
      <c r="I799"/>
      <c r="J799"/>
      <c r="K799"/>
      <c r="L799"/>
      <c r="M799"/>
      <c r="N799"/>
    </row>
    <row r="800" spans="1:14" x14ac:dyDescent="0.4">
      <c r="A800"/>
      <c r="B800"/>
      <c r="C800"/>
      <c r="D800"/>
      <c r="E800"/>
      <c r="F800"/>
      <c r="G800"/>
      <c r="H800"/>
      <c r="I800"/>
      <c r="J800"/>
      <c r="K800"/>
      <c r="L800"/>
      <c r="M800"/>
      <c r="N800"/>
    </row>
    <row r="801" spans="1:14" x14ac:dyDescent="0.4">
      <c r="A801"/>
      <c r="B801"/>
      <c r="C801"/>
      <c r="D801"/>
      <c r="E801"/>
      <c r="F801"/>
      <c r="G801"/>
      <c r="H801"/>
      <c r="I801"/>
      <c r="J801"/>
      <c r="K801"/>
      <c r="L801"/>
      <c r="M801"/>
      <c r="N801"/>
    </row>
    <row r="802" spans="1:14" x14ac:dyDescent="0.4">
      <c r="A802"/>
      <c r="B802"/>
      <c r="C802"/>
      <c r="D802"/>
      <c r="E802"/>
      <c r="F802"/>
      <c r="G802"/>
      <c r="H802"/>
      <c r="I802"/>
      <c r="J802"/>
      <c r="K802"/>
      <c r="L802"/>
      <c r="M802"/>
      <c r="N802"/>
    </row>
    <row r="803" spans="1:14" x14ac:dyDescent="0.4">
      <c r="A803"/>
      <c r="B803"/>
      <c r="C803"/>
      <c r="D803"/>
      <c r="E803"/>
      <c r="F803"/>
      <c r="G803"/>
      <c r="H803"/>
      <c r="I803"/>
      <c r="J803"/>
      <c r="K803"/>
      <c r="L803"/>
      <c r="M803"/>
      <c r="N803"/>
    </row>
    <row r="804" spans="1:14" x14ac:dyDescent="0.4">
      <c r="A804"/>
      <c r="B804"/>
      <c r="C804"/>
      <c r="D804"/>
      <c r="E804"/>
      <c r="F804"/>
      <c r="G804"/>
      <c r="H804"/>
      <c r="I804"/>
      <c r="J804"/>
      <c r="K804"/>
      <c r="L804"/>
      <c r="M804"/>
      <c r="N804"/>
    </row>
    <row r="805" spans="1:14" x14ac:dyDescent="0.4">
      <c r="A805"/>
      <c r="B805"/>
      <c r="C805"/>
      <c r="D805"/>
      <c r="E805"/>
      <c r="F805"/>
      <c r="G805"/>
      <c r="H805"/>
      <c r="I805"/>
      <c r="J805"/>
      <c r="K805"/>
      <c r="L805"/>
      <c r="M805"/>
      <c r="N805"/>
    </row>
    <row r="806" spans="1:14" x14ac:dyDescent="0.4">
      <c r="A806"/>
      <c r="B806"/>
      <c r="C806"/>
      <c r="D806"/>
      <c r="E806"/>
      <c r="F806"/>
      <c r="G806"/>
      <c r="H806"/>
      <c r="I806"/>
      <c r="J806"/>
      <c r="K806"/>
      <c r="L806"/>
      <c r="M806"/>
      <c r="N806"/>
    </row>
    <row r="807" spans="1:14" x14ac:dyDescent="0.4">
      <c r="A807"/>
      <c r="B807"/>
      <c r="C807"/>
      <c r="D807"/>
      <c r="E807"/>
      <c r="F807"/>
      <c r="G807"/>
      <c r="H807"/>
      <c r="I807"/>
      <c r="J807"/>
      <c r="K807"/>
      <c r="L807"/>
      <c r="M807"/>
      <c r="N807"/>
    </row>
    <row r="808" spans="1:14" x14ac:dyDescent="0.4">
      <c r="A808"/>
      <c r="B808"/>
      <c r="C808"/>
      <c r="D808"/>
      <c r="E808"/>
      <c r="F808"/>
      <c r="G808"/>
      <c r="H808"/>
      <c r="I808"/>
      <c r="J808"/>
      <c r="K808"/>
      <c r="L808"/>
      <c r="M808"/>
      <c r="N808"/>
    </row>
    <row r="809" spans="1:14" x14ac:dyDescent="0.4">
      <c r="A809"/>
      <c r="B809"/>
      <c r="C809"/>
      <c r="D809"/>
      <c r="E809"/>
      <c r="F809"/>
      <c r="G809"/>
      <c r="H809"/>
      <c r="I809"/>
      <c r="J809"/>
      <c r="K809"/>
      <c r="L809"/>
      <c r="M809"/>
      <c r="N809"/>
    </row>
    <row r="810" spans="1:14" x14ac:dyDescent="0.4">
      <c r="A810"/>
      <c r="B810"/>
      <c r="C810"/>
      <c r="D810"/>
      <c r="E810"/>
      <c r="F810"/>
      <c r="G810"/>
      <c r="H810"/>
      <c r="I810"/>
      <c r="J810"/>
      <c r="K810"/>
      <c r="L810"/>
      <c r="M810"/>
      <c r="N810"/>
    </row>
    <row r="811" spans="1:14" x14ac:dyDescent="0.4">
      <c r="A811"/>
      <c r="B811"/>
      <c r="C811"/>
      <c r="D811"/>
      <c r="E811"/>
      <c r="F811"/>
      <c r="G811"/>
      <c r="H811"/>
      <c r="I811"/>
      <c r="J811"/>
      <c r="K811"/>
      <c r="L811"/>
      <c r="M811"/>
      <c r="N811"/>
    </row>
    <row r="812" spans="1:14" x14ac:dyDescent="0.4">
      <c r="A812"/>
      <c r="B812"/>
      <c r="C812"/>
      <c r="D812"/>
      <c r="E812"/>
      <c r="F812"/>
      <c r="G812"/>
      <c r="H812"/>
      <c r="I812"/>
      <c r="J812"/>
      <c r="K812"/>
      <c r="L812"/>
      <c r="M812"/>
      <c r="N812"/>
    </row>
    <row r="813" spans="1:14" x14ac:dyDescent="0.4">
      <c r="A813"/>
      <c r="B813"/>
      <c r="C813"/>
      <c r="D813"/>
      <c r="E813"/>
      <c r="F813"/>
      <c r="G813"/>
      <c r="H813"/>
      <c r="I813"/>
      <c r="J813"/>
      <c r="K813"/>
      <c r="L813"/>
      <c r="M813"/>
      <c r="N813"/>
    </row>
    <row r="814" spans="1:14" x14ac:dyDescent="0.4">
      <c r="A814"/>
      <c r="B814"/>
      <c r="C814"/>
      <c r="D814"/>
      <c r="E814"/>
      <c r="F814"/>
      <c r="G814"/>
      <c r="H814"/>
      <c r="I814"/>
      <c r="J814"/>
      <c r="K814"/>
      <c r="L814"/>
      <c r="M814"/>
      <c r="N814"/>
    </row>
    <row r="815" spans="1:14" x14ac:dyDescent="0.4">
      <c r="A815"/>
      <c r="B815"/>
      <c r="C815"/>
      <c r="D815"/>
      <c r="E815"/>
      <c r="F815"/>
      <c r="G815"/>
      <c r="H815"/>
      <c r="I815"/>
      <c r="J815"/>
      <c r="K815"/>
      <c r="L815"/>
      <c r="M815"/>
      <c r="N815"/>
    </row>
    <row r="816" spans="1:14" x14ac:dyDescent="0.4">
      <c r="A816"/>
      <c r="B816"/>
      <c r="C816"/>
      <c r="D816"/>
      <c r="E816"/>
      <c r="F816"/>
      <c r="G816"/>
      <c r="H816"/>
      <c r="I816"/>
      <c r="J816"/>
      <c r="K816"/>
      <c r="L816"/>
      <c r="M816"/>
      <c r="N816"/>
    </row>
    <row r="817" spans="1:14" x14ac:dyDescent="0.4">
      <c r="A817"/>
      <c r="B817"/>
      <c r="C817"/>
      <c r="D817"/>
      <c r="E817"/>
      <c r="F817"/>
      <c r="G817"/>
      <c r="H817"/>
      <c r="I817"/>
      <c r="J817"/>
      <c r="K817"/>
      <c r="L817"/>
      <c r="M817"/>
      <c r="N817"/>
    </row>
    <row r="818" spans="1:14" x14ac:dyDescent="0.4">
      <c r="A818"/>
      <c r="B818"/>
      <c r="C818"/>
      <c r="D818"/>
      <c r="E818"/>
      <c r="F818"/>
      <c r="G818"/>
      <c r="H818"/>
      <c r="I818"/>
      <c r="J818"/>
      <c r="K818"/>
      <c r="L818"/>
      <c r="M818"/>
      <c r="N818"/>
    </row>
    <row r="819" spans="1:14" x14ac:dyDescent="0.4">
      <c r="A819"/>
      <c r="B819"/>
      <c r="C819"/>
      <c r="D819"/>
      <c r="E819"/>
      <c r="F819"/>
      <c r="G819"/>
      <c r="H819"/>
      <c r="I819"/>
      <c r="J819"/>
      <c r="K819"/>
      <c r="L819"/>
      <c r="M819"/>
      <c r="N819"/>
    </row>
    <row r="820" spans="1:14" x14ac:dyDescent="0.4">
      <c r="A820"/>
      <c r="B820"/>
      <c r="C820"/>
      <c r="D820"/>
      <c r="E820"/>
      <c r="F820"/>
      <c r="G820"/>
      <c r="H820"/>
      <c r="I820"/>
      <c r="J820"/>
      <c r="K820"/>
      <c r="L820"/>
      <c r="M820"/>
      <c r="N820"/>
    </row>
    <row r="821" spans="1:14" x14ac:dyDescent="0.4">
      <c r="A821"/>
      <c r="B821"/>
      <c r="C821"/>
      <c r="D821"/>
      <c r="E821"/>
      <c r="F821"/>
      <c r="G821"/>
      <c r="H821"/>
      <c r="I821"/>
      <c r="J821"/>
      <c r="K821"/>
      <c r="L821"/>
      <c r="M821"/>
      <c r="N821"/>
    </row>
    <row r="822" spans="1:14" x14ac:dyDescent="0.4">
      <c r="A822"/>
      <c r="B822"/>
      <c r="C822"/>
      <c r="D822"/>
      <c r="E822"/>
      <c r="F822"/>
      <c r="G822"/>
      <c r="H822"/>
      <c r="I822"/>
      <c r="J822"/>
      <c r="K822"/>
      <c r="L822"/>
      <c r="M822"/>
      <c r="N822"/>
    </row>
    <row r="823" spans="1:14" x14ac:dyDescent="0.4">
      <c r="A823"/>
      <c r="B823"/>
      <c r="C823"/>
      <c r="D823"/>
      <c r="E823"/>
      <c r="F823"/>
      <c r="G823"/>
      <c r="H823"/>
      <c r="I823"/>
      <c r="J823"/>
      <c r="K823"/>
      <c r="L823"/>
      <c r="M823"/>
      <c r="N823"/>
    </row>
    <row r="824" spans="1:14" x14ac:dyDescent="0.4">
      <c r="A824"/>
      <c r="B824"/>
      <c r="C824"/>
      <c r="D824"/>
      <c r="E824"/>
      <c r="F824"/>
      <c r="G824"/>
      <c r="H824"/>
      <c r="I824"/>
      <c r="J824"/>
      <c r="K824"/>
      <c r="L824"/>
      <c r="M824"/>
      <c r="N824"/>
    </row>
    <row r="825" spans="1:14" x14ac:dyDescent="0.4">
      <c r="A825"/>
      <c r="B825"/>
      <c r="C825"/>
      <c r="D825"/>
      <c r="E825"/>
      <c r="F825"/>
      <c r="G825"/>
      <c r="H825"/>
      <c r="I825"/>
      <c r="J825"/>
      <c r="K825"/>
      <c r="L825"/>
      <c r="M825"/>
      <c r="N825"/>
    </row>
    <row r="826" spans="1:14" x14ac:dyDescent="0.4">
      <c r="A826"/>
      <c r="B826"/>
      <c r="C826"/>
      <c r="D826"/>
      <c r="E826"/>
      <c r="F826"/>
      <c r="G826"/>
      <c r="H826"/>
      <c r="I826"/>
      <c r="J826"/>
      <c r="K826"/>
      <c r="L826"/>
      <c r="M826"/>
      <c r="N826"/>
    </row>
    <row r="827" spans="1:14" x14ac:dyDescent="0.4">
      <c r="A827"/>
      <c r="B827"/>
      <c r="C827"/>
      <c r="D827"/>
      <c r="E827"/>
      <c r="F827"/>
      <c r="G827"/>
      <c r="H827"/>
      <c r="I827"/>
      <c r="J827"/>
      <c r="K827"/>
      <c r="L827"/>
      <c r="M827"/>
      <c r="N827"/>
    </row>
    <row r="828" spans="1:14" x14ac:dyDescent="0.4">
      <c r="A828"/>
      <c r="B828"/>
      <c r="C828"/>
      <c r="D828"/>
      <c r="E828"/>
      <c r="F828"/>
      <c r="G828"/>
      <c r="H828"/>
      <c r="I828"/>
      <c r="J828"/>
      <c r="K828"/>
      <c r="L828"/>
      <c r="M828"/>
      <c r="N828"/>
    </row>
    <row r="829" spans="1:14" x14ac:dyDescent="0.4">
      <c r="A829"/>
      <c r="B829"/>
      <c r="C829"/>
      <c r="D829"/>
      <c r="E829"/>
      <c r="F829"/>
      <c r="G829"/>
      <c r="H829"/>
      <c r="I829"/>
      <c r="J829"/>
      <c r="K829"/>
      <c r="L829"/>
      <c r="M829"/>
      <c r="N829"/>
    </row>
    <row r="830" spans="1:14" x14ac:dyDescent="0.4">
      <c r="A830"/>
      <c r="B830"/>
      <c r="C830"/>
      <c r="D830"/>
      <c r="E830"/>
      <c r="F830"/>
      <c r="G830"/>
      <c r="H830"/>
      <c r="I830"/>
      <c r="J830"/>
      <c r="K830"/>
      <c r="L830"/>
      <c r="M830"/>
      <c r="N830"/>
    </row>
    <row r="831" spans="1:14" x14ac:dyDescent="0.4">
      <c r="A831"/>
      <c r="B831"/>
      <c r="C831"/>
      <c r="D831"/>
      <c r="E831"/>
      <c r="F831"/>
      <c r="G831"/>
      <c r="H831"/>
      <c r="I831"/>
      <c r="J831"/>
      <c r="K831"/>
      <c r="L831"/>
      <c r="M831"/>
      <c r="N831"/>
    </row>
    <row r="832" spans="1:14" x14ac:dyDescent="0.4">
      <c r="A832"/>
      <c r="B832"/>
      <c r="C832"/>
      <c r="D832"/>
      <c r="E832"/>
      <c r="F832"/>
      <c r="G832"/>
      <c r="H832"/>
      <c r="I832"/>
      <c r="J832"/>
      <c r="K832"/>
      <c r="L832"/>
      <c r="M832"/>
      <c r="N832"/>
    </row>
    <row r="833" spans="1:14" x14ac:dyDescent="0.4">
      <c r="A833"/>
      <c r="B833"/>
      <c r="C833"/>
      <c r="D833"/>
      <c r="E833"/>
      <c r="F833"/>
      <c r="G833"/>
      <c r="H833"/>
      <c r="I833"/>
      <c r="J833"/>
      <c r="K833"/>
      <c r="L833"/>
      <c r="M833"/>
      <c r="N833"/>
    </row>
    <row r="834" spans="1:14" x14ac:dyDescent="0.4">
      <c r="A834"/>
      <c r="B834"/>
      <c r="C834"/>
      <c r="D834"/>
      <c r="E834"/>
      <c r="F834"/>
      <c r="G834"/>
      <c r="H834"/>
      <c r="I834"/>
      <c r="J834"/>
      <c r="K834"/>
      <c r="L834"/>
      <c r="M834"/>
      <c r="N834"/>
    </row>
    <row r="835" spans="1:14" x14ac:dyDescent="0.4">
      <c r="A835"/>
      <c r="B835"/>
      <c r="C835"/>
      <c r="D835"/>
      <c r="E835"/>
      <c r="F835"/>
      <c r="G835"/>
      <c r="H835"/>
      <c r="I835"/>
      <c r="J835"/>
      <c r="K835"/>
      <c r="L835"/>
      <c r="M835"/>
      <c r="N835"/>
    </row>
    <row r="836" spans="1:14" x14ac:dyDescent="0.4">
      <c r="A836"/>
      <c r="B836"/>
      <c r="C836"/>
      <c r="D836"/>
      <c r="E836"/>
      <c r="F836"/>
      <c r="G836"/>
      <c r="H836"/>
      <c r="I836"/>
      <c r="J836"/>
      <c r="K836"/>
      <c r="L836"/>
      <c r="M836"/>
      <c r="N836"/>
    </row>
    <row r="837" spans="1:14" x14ac:dyDescent="0.4">
      <c r="A837"/>
      <c r="B837"/>
      <c r="C837"/>
      <c r="D837"/>
      <c r="E837"/>
      <c r="F837"/>
      <c r="G837"/>
      <c r="H837"/>
      <c r="I837"/>
      <c r="J837"/>
      <c r="K837"/>
      <c r="L837"/>
      <c r="M837"/>
      <c r="N837"/>
    </row>
    <row r="838" spans="1:14" x14ac:dyDescent="0.4">
      <c r="A838"/>
      <c r="B838"/>
      <c r="C838"/>
      <c r="D838"/>
      <c r="E838"/>
      <c r="F838"/>
      <c r="G838"/>
      <c r="H838"/>
      <c r="I838"/>
      <c r="J838"/>
      <c r="K838"/>
      <c r="L838"/>
      <c r="M838"/>
      <c r="N838"/>
    </row>
    <row r="839" spans="1:14" x14ac:dyDescent="0.4">
      <c r="A839"/>
      <c r="B839"/>
      <c r="C839"/>
      <c r="D839"/>
      <c r="E839"/>
      <c r="F839"/>
      <c r="G839"/>
      <c r="H839"/>
      <c r="I839"/>
      <c r="J839"/>
      <c r="K839"/>
      <c r="L839"/>
      <c r="M839"/>
      <c r="N839"/>
    </row>
    <row r="840" spans="1:14" x14ac:dyDescent="0.4">
      <c r="A840"/>
      <c r="B840"/>
      <c r="C840"/>
      <c r="D840"/>
      <c r="E840"/>
      <c r="F840"/>
      <c r="G840"/>
      <c r="H840"/>
      <c r="I840"/>
      <c r="J840"/>
      <c r="K840"/>
      <c r="L840"/>
      <c r="M840"/>
      <c r="N840"/>
    </row>
    <row r="841" spans="1:14" x14ac:dyDescent="0.4">
      <c r="A841"/>
      <c r="B841"/>
      <c r="C841"/>
      <c r="D841"/>
      <c r="E841"/>
      <c r="F841"/>
      <c r="G841"/>
      <c r="H841"/>
      <c r="I841"/>
      <c r="J841"/>
      <c r="K841"/>
      <c r="L841"/>
      <c r="M841"/>
      <c r="N841"/>
    </row>
    <row r="842" spans="1:14" x14ac:dyDescent="0.4">
      <c r="A842"/>
      <c r="B842"/>
      <c r="C842"/>
      <c r="D842"/>
      <c r="E842"/>
      <c r="F842"/>
      <c r="G842"/>
      <c r="H842"/>
      <c r="I842"/>
      <c r="J842"/>
      <c r="K842"/>
      <c r="L842"/>
      <c r="M842"/>
      <c r="N842"/>
    </row>
    <row r="843" spans="1:14" x14ac:dyDescent="0.4">
      <c r="A843"/>
      <c r="B843"/>
      <c r="C843"/>
      <c r="D843"/>
      <c r="E843"/>
      <c r="F843"/>
      <c r="G843"/>
      <c r="H843"/>
      <c r="I843"/>
      <c r="J843"/>
      <c r="K843"/>
      <c r="L843"/>
      <c r="M843"/>
      <c r="N843"/>
    </row>
    <row r="844" spans="1:14" x14ac:dyDescent="0.4">
      <c r="A844"/>
      <c r="B844"/>
      <c r="C844"/>
      <c r="D844"/>
      <c r="E844"/>
      <c r="F844"/>
      <c r="G844"/>
      <c r="H844"/>
      <c r="I844"/>
      <c r="J844"/>
      <c r="K844"/>
      <c r="L844"/>
      <c r="M844"/>
      <c r="N844"/>
    </row>
    <row r="845" spans="1:14" x14ac:dyDescent="0.4">
      <c r="A845"/>
      <c r="B845"/>
      <c r="C845"/>
      <c r="D845"/>
      <c r="E845"/>
      <c r="F845"/>
      <c r="G845"/>
      <c r="H845"/>
      <c r="I845"/>
      <c r="J845"/>
      <c r="K845"/>
      <c r="L845"/>
      <c r="M845"/>
      <c r="N845"/>
    </row>
    <row r="846" spans="1:14" x14ac:dyDescent="0.4">
      <c r="A846"/>
      <c r="B846"/>
      <c r="C846"/>
      <c r="D846"/>
      <c r="E846"/>
      <c r="F846"/>
      <c r="G846"/>
      <c r="H846"/>
      <c r="I846"/>
      <c r="J846"/>
      <c r="K846"/>
      <c r="L846"/>
      <c r="M846"/>
      <c r="N846"/>
    </row>
    <row r="847" spans="1:14" x14ac:dyDescent="0.4">
      <c r="A847"/>
      <c r="B847"/>
      <c r="C847"/>
      <c r="D847"/>
      <c r="E847"/>
      <c r="F847"/>
      <c r="G847"/>
      <c r="H847"/>
      <c r="I847"/>
      <c r="J847"/>
      <c r="K847"/>
      <c r="L847"/>
      <c r="M847"/>
      <c r="N847"/>
    </row>
    <row r="848" spans="1:14" x14ac:dyDescent="0.4">
      <c r="A848"/>
      <c r="B848"/>
      <c r="C848"/>
      <c r="D848"/>
      <c r="E848"/>
      <c r="F848"/>
      <c r="G848"/>
      <c r="H848"/>
      <c r="I848"/>
      <c r="J848"/>
      <c r="K848"/>
      <c r="L848"/>
      <c r="M848"/>
      <c r="N848"/>
    </row>
    <row r="849" spans="1:14" x14ac:dyDescent="0.4">
      <c r="A849"/>
      <c r="B849"/>
      <c r="C849"/>
      <c r="D849"/>
      <c r="E849"/>
      <c r="F849"/>
      <c r="G849"/>
      <c r="H849"/>
      <c r="I849"/>
      <c r="J849"/>
      <c r="K849"/>
      <c r="L849"/>
      <c r="M849"/>
      <c r="N849"/>
    </row>
    <row r="850" spans="1:14" x14ac:dyDescent="0.4">
      <c r="A850"/>
      <c r="B850"/>
      <c r="C850"/>
      <c r="D850"/>
      <c r="E850"/>
      <c r="F850"/>
      <c r="G850"/>
      <c r="H850"/>
      <c r="I850"/>
      <c r="J850"/>
      <c r="K850"/>
      <c r="L850"/>
      <c r="M850"/>
      <c r="N850"/>
    </row>
    <row r="851" spans="1:14" x14ac:dyDescent="0.4">
      <c r="A851"/>
      <c r="B851"/>
      <c r="C851"/>
      <c r="D851"/>
      <c r="E851"/>
      <c r="F851"/>
      <c r="G851"/>
      <c r="H851"/>
      <c r="I851"/>
      <c r="J851"/>
      <c r="K851"/>
      <c r="L851"/>
      <c r="M851"/>
      <c r="N851"/>
    </row>
    <row r="852" spans="1:14" x14ac:dyDescent="0.4">
      <c r="A852"/>
      <c r="B852"/>
      <c r="C852"/>
      <c r="D852"/>
      <c r="E852"/>
      <c r="F852"/>
      <c r="G852"/>
      <c r="H852"/>
      <c r="I852"/>
      <c r="J852"/>
      <c r="K852"/>
      <c r="L852"/>
      <c r="M852"/>
      <c r="N852"/>
    </row>
    <row r="853" spans="1:14" x14ac:dyDescent="0.4">
      <c r="A853"/>
      <c r="B853"/>
      <c r="C853"/>
      <c r="D853"/>
      <c r="E853"/>
      <c r="F853"/>
      <c r="G853"/>
      <c r="H853"/>
      <c r="I853"/>
      <c r="J853"/>
      <c r="K853"/>
      <c r="L853"/>
      <c r="M853"/>
      <c r="N853"/>
    </row>
    <row r="854" spans="1:14" x14ac:dyDescent="0.4">
      <c r="A854"/>
      <c r="B854"/>
      <c r="C854"/>
      <c r="D854"/>
      <c r="E854"/>
      <c r="F854"/>
      <c r="G854"/>
      <c r="H854"/>
      <c r="I854"/>
      <c r="J854"/>
      <c r="K854"/>
      <c r="L854"/>
      <c r="M854"/>
      <c r="N854"/>
    </row>
    <row r="855" spans="1:14" x14ac:dyDescent="0.4">
      <c r="A855"/>
      <c r="B855"/>
      <c r="C855"/>
      <c r="D855"/>
      <c r="E855"/>
      <c r="F855"/>
      <c r="G855"/>
      <c r="H855"/>
      <c r="I855"/>
      <c r="J855"/>
      <c r="K855"/>
      <c r="L855"/>
      <c r="M855"/>
      <c r="N855"/>
    </row>
    <row r="856" spans="1:14" x14ac:dyDescent="0.4">
      <c r="A856"/>
      <c r="B856"/>
      <c r="C856"/>
      <c r="D856"/>
      <c r="E856"/>
      <c r="F856"/>
      <c r="G856"/>
      <c r="H856"/>
      <c r="I856"/>
      <c r="J856"/>
      <c r="K856"/>
      <c r="L856"/>
      <c r="M856"/>
      <c r="N856"/>
    </row>
    <row r="857" spans="1:14" x14ac:dyDescent="0.4">
      <c r="A857"/>
      <c r="B857"/>
      <c r="C857"/>
      <c r="D857"/>
      <c r="E857"/>
      <c r="F857"/>
      <c r="G857"/>
      <c r="H857"/>
      <c r="I857"/>
      <c r="J857"/>
      <c r="K857"/>
      <c r="L857"/>
      <c r="M857"/>
      <c r="N857"/>
    </row>
    <row r="858" spans="1:14" x14ac:dyDescent="0.4">
      <c r="A858"/>
      <c r="B858"/>
      <c r="C858"/>
      <c r="D858"/>
      <c r="E858"/>
      <c r="F858"/>
      <c r="G858"/>
      <c r="H858"/>
      <c r="I858"/>
      <c r="J858"/>
      <c r="K858"/>
      <c r="L858"/>
      <c r="M858"/>
      <c r="N858"/>
    </row>
    <row r="859" spans="1:14" x14ac:dyDescent="0.4">
      <c r="A859"/>
      <c r="B859"/>
      <c r="C859"/>
      <c r="D859"/>
      <c r="E859"/>
      <c r="F859"/>
      <c r="G859"/>
      <c r="H859"/>
      <c r="I859"/>
      <c r="J859"/>
      <c r="K859"/>
      <c r="L859"/>
      <c r="M859"/>
      <c r="N859"/>
    </row>
    <row r="860" spans="1:14" x14ac:dyDescent="0.4">
      <c r="A860"/>
      <c r="B860"/>
      <c r="C860"/>
      <c r="D860"/>
      <c r="E860"/>
      <c r="F860"/>
      <c r="G860"/>
      <c r="H860"/>
      <c r="I860"/>
      <c r="J860"/>
      <c r="K860"/>
      <c r="L860"/>
      <c r="M860"/>
      <c r="N860"/>
    </row>
    <row r="861" spans="1:14" x14ac:dyDescent="0.4">
      <c r="A861"/>
      <c r="B861"/>
      <c r="C861"/>
      <c r="D861"/>
      <c r="E861"/>
      <c r="F861"/>
      <c r="G861"/>
      <c r="H861"/>
      <c r="I861"/>
      <c r="J861"/>
      <c r="K861"/>
      <c r="L861"/>
      <c r="M861"/>
      <c r="N861"/>
    </row>
    <row r="862" spans="1:14" x14ac:dyDescent="0.4">
      <c r="A862"/>
      <c r="B862"/>
      <c r="C862"/>
      <c r="D862"/>
      <c r="E862"/>
      <c r="F862"/>
      <c r="G862"/>
      <c r="H862"/>
      <c r="I862"/>
      <c r="J862"/>
      <c r="K862"/>
      <c r="L862"/>
      <c r="M862"/>
      <c r="N862"/>
    </row>
    <row r="863" spans="1:14" x14ac:dyDescent="0.4">
      <c r="A863"/>
      <c r="B863"/>
      <c r="C863"/>
      <c r="D863"/>
      <c r="E863"/>
      <c r="F863"/>
      <c r="G863"/>
      <c r="H863"/>
      <c r="I863"/>
      <c r="J863"/>
      <c r="K863"/>
      <c r="L863"/>
      <c r="M863"/>
      <c r="N863"/>
    </row>
    <row r="864" spans="1:14" x14ac:dyDescent="0.4">
      <c r="A864"/>
      <c r="B864"/>
      <c r="C864"/>
      <c r="D864"/>
      <c r="E864"/>
      <c r="F864"/>
      <c r="G864"/>
      <c r="H864"/>
      <c r="I864"/>
      <c r="J864"/>
      <c r="K864"/>
      <c r="L864"/>
      <c r="M864"/>
      <c r="N864"/>
    </row>
    <row r="865" spans="1:14" x14ac:dyDescent="0.4">
      <c r="A865"/>
      <c r="B865"/>
      <c r="C865"/>
      <c r="D865"/>
      <c r="E865"/>
      <c r="F865"/>
      <c r="G865"/>
      <c r="H865"/>
      <c r="I865"/>
      <c r="J865"/>
      <c r="K865"/>
      <c r="L865"/>
      <c r="M865"/>
      <c r="N865"/>
    </row>
    <row r="866" spans="1:14" x14ac:dyDescent="0.4">
      <c r="A866"/>
      <c r="B866"/>
      <c r="C866"/>
      <c r="D866"/>
      <c r="E866"/>
      <c r="F866"/>
      <c r="G866"/>
      <c r="H866"/>
      <c r="I866"/>
      <c r="J866"/>
      <c r="K866"/>
      <c r="L866"/>
      <c r="M866"/>
      <c r="N866"/>
    </row>
    <row r="867" spans="1:14" x14ac:dyDescent="0.4">
      <c r="A867"/>
      <c r="B867"/>
      <c r="C867"/>
      <c r="D867"/>
      <c r="E867"/>
      <c r="F867"/>
      <c r="G867"/>
      <c r="H867"/>
      <c r="I867"/>
      <c r="J867"/>
      <c r="K867"/>
      <c r="L867"/>
      <c r="M867"/>
      <c r="N867"/>
    </row>
    <row r="868" spans="1:14" x14ac:dyDescent="0.4">
      <c r="A868"/>
      <c r="B868"/>
      <c r="C868"/>
      <c r="D868"/>
      <c r="E868"/>
      <c r="F868"/>
      <c r="G868"/>
      <c r="H868"/>
      <c r="I868"/>
      <c r="J868"/>
      <c r="K868"/>
      <c r="L868"/>
      <c r="M868"/>
      <c r="N868"/>
    </row>
    <row r="869" spans="1:14" x14ac:dyDescent="0.4">
      <c r="A869"/>
      <c r="B869"/>
      <c r="C869"/>
      <c r="D869"/>
      <c r="E869"/>
      <c r="F869"/>
      <c r="G869"/>
      <c r="H869"/>
      <c r="I869"/>
      <c r="J869"/>
      <c r="K869"/>
      <c r="L869"/>
      <c r="M869"/>
      <c r="N869"/>
    </row>
    <row r="870" spans="1:14" x14ac:dyDescent="0.4">
      <c r="A870"/>
      <c r="B870"/>
      <c r="C870"/>
      <c r="D870"/>
      <c r="E870"/>
      <c r="F870"/>
      <c r="G870"/>
      <c r="H870"/>
      <c r="I870"/>
      <c r="J870"/>
      <c r="K870"/>
      <c r="L870"/>
      <c r="M870"/>
      <c r="N870"/>
    </row>
    <row r="871" spans="1:14" x14ac:dyDescent="0.4">
      <c r="A871"/>
      <c r="B871"/>
      <c r="C871"/>
      <c r="D871"/>
      <c r="E871"/>
      <c r="F871"/>
      <c r="G871"/>
      <c r="H871"/>
      <c r="I871"/>
      <c r="J871"/>
      <c r="K871"/>
      <c r="L871"/>
      <c r="M871"/>
      <c r="N871"/>
    </row>
    <row r="872" spans="1:14" x14ac:dyDescent="0.4">
      <c r="A872"/>
      <c r="B872"/>
      <c r="C872"/>
      <c r="D872"/>
      <c r="E872"/>
      <c r="F872"/>
      <c r="G872"/>
      <c r="H872"/>
      <c r="I872"/>
      <c r="J872"/>
      <c r="K872"/>
      <c r="L872"/>
      <c r="M872"/>
      <c r="N872"/>
    </row>
    <row r="873" spans="1:14" x14ac:dyDescent="0.4">
      <c r="A873"/>
      <c r="B873"/>
      <c r="C873"/>
      <c r="D873"/>
      <c r="E873"/>
      <c r="F873"/>
      <c r="G873"/>
      <c r="H873"/>
      <c r="I873"/>
      <c r="J873"/>
      <c r="K873"/>
      <c r="L873"/>
      <c r="M873"/>
      <c r="N873"/>
    </row>
    <row r="874" spans="1:14" x14ac:dyDescent="0.4">
      <c r="A874"/>
      <c r="B874"/>
      <c r="C874"/>
      <c r="D874"/>
      <c r="E874"/>
      <c r="F874"/>
      <c r="G874"/>
      <c r="H874"/>
      <c r="I874"/>
      <c r="J874"/>
      <c r="K874"/>
      <c r="L874"/>
      <c r="M874"/>
      <c r="N874"/>
    </row>
    <row r="875" spans="1:14" x14ac:dyDescent="0.4">
      <c r="A875"/>
      <c r="B875"/>
      <c r="C875"/>
      <c r="D875"/>
      <c r="E875"/>
      <c r="F875"/>
      <c r="G875"/>
      <c r="H875"/>
      <c r="I875"/>
      <c r="J875"/>
      <c r="K875"/>
      <c r="L875"/>
      <c r="M875"/>
      <c r="N875"/>
    </row>
    <row r="876" spans="1:14" x14ac:dyDescent="0.4">
      <c r="A876"/>
      <c r="B876"/>
      <c r="C876"/>
      <c r="D876"/>
      <c r="E876"/>
      <c r="F876"/>
      <c r="G876"/>
      <c r="H876"/>
      <c r="I876"/>
      <c r="J876"/>
      <c r="K876"/>
      <c r="L876"/>
      <c r="M876"/>
      <c r="N876"/>
    </row>
    <row r="877" spans="1:14" x14ac:dyDescent="0.4">
      <c r="A877"/>
      <c r="B877"/>
      <c r="C877"/>
      <c r="D877"/>
      <c r="E877"/>
      <c r="F877"/>
      <c r="G877"/>
      <c r="H877"/>
      <c r="I877"/>
      <c r="J877"/>
      <c r="K877"/>
      <c r="L877"/>
      <c r="M877"/>
      <c r="N877"/>
    </row>
    <row r="878" spans="1:14" x14ac:dyDescent="0.4">
      <c r="A878"/>
      <c r="B878"/>
      <c r="C878"/>
      <c r="D878"/>
      <c r="E878"/>
      <c r="F878"/>
      <c r="G878"/>
      <c r="H878"/>
      <c r="I878"/>
      <c r="J878"/>
      <c r="K878"/>
      <c r="L878"/>
      <c r="M878"/>
      <c r="N878"/>
    </row>
    <row r="879" spans="1:14" x14ac:dyDescent="0.4">
      <c r="A879"/>
      <c r="B879"/>
      <c r="C879"/>
      <c r="D879"/>
      <c r="E879"/>
      <c r="F879"/>
      <c r="G879"/>
      <c r="H879"/>
      <c r="I879"/>
      <c r="J879"/>
      <c r="K879"/>
      <c r="L879"/>
      <c r="M879"/>
      <c r="N879"/>
    </row>
    <row r="880" spans="1:14" x14ac:dyDescent="0.4">
      <c r="A880"/>
      <c r="B880"/>
      <c r="C880"/>
      <c r="D880"/>
      <c r="E880"/>
      <c r="F880"/>
      <c r="G880"/>
      <c r="H880"/>
      <c r="I880"/>
      <c r="J880"/>
      <c r="K880"/>
      <c r="L880"/>
      <c r="M880"/>
      <c r="N880"/>
    </row>
    <row r="881" spans="1:14" x14ac:dyDescent="0.4">
      <c r="A881"/>
      <c r="B881"/>
      <c r="C881"/>
      <c r="D881"/>
      <c r="E881"/>
      <c r="F881"/>
      <c r="G881"/>
      <c r="H881"/>
      <c r="I881"/>
      <c r="J881"/>
      <c r="K881"/>
      <c r="L881"/>
      <c r="M881"/>
      <c r="N881"/>
    </row>
    <row r="882" spans="1:14" x14ac:dyDescent="0.4">
      <c r="A882"/>
      <c r="B882"/>
      <c r="C882"/>
      <c r="D882"/>
      <c r="E882"/>
      <c r="F882"/>
      <c r="G882"/>
      <c r="H882"/>
      <c r="I882"/>
      <c r="J882"/>
      <c r="K882"/>
      <c r="L882"/>
      <c r="M882"/>
      <c r="N882"/>
    </row>
    <row r="883" spans="1:14" x14ac:dyDescent="0.4">
      <c r="A883"/>
      <c r="B883"/>
      <c r="C883"/>
      <c r="D883"/>
      <c r="E883"/>
      <c r="F883"/>
      <c r="G883"/>
      <c r="H883"/>
      <c r="I883"/>
      <c r="J883"/>
      <c r="K883"/>
      <c r="L883"/>
      <c r="M883"/>
      <c r="N883"/>
    </row>
    <row r="884" spans="1:14" x14ac:dyDescent="0.4">
      <c r="A884"/>
      <c r="B884"/>
      <c r="C884"/>
      <c r="D884"/>
      <c r="E884"/>
      <c r="F884"/>
      <c r="G884"/>
      <c r="H884"/>
      <c r="I884"/>
      <c r="J884"/>
      <c r="K884"/>
      <c r="L884"/>
      <c r="M884"/>
      <c r="N884"/>
    </row>
    <row r="885" spans="1:14" x14ac:dyDescent="0.4">
      <c r="A885"/>
      <c r="B885"/>
      <c r="C885"/>
      <c r="D885"/>
      <c r="E885"/>
      <c r="F885"/>
      <c r="G885"/>
      <c r="H885"/>
      <c r="I885"/>
      <c r="J885"/>
      <c r="K885"/>
      <c r="L885"/>
      <c r="M885"/>
      <c r="N885"/>
    </row>
    <row r="886" spans="1:14" x14ac:dyDescent="0.4">
      <c r="A886"/>
      <c r="B886"/>
      <c r="C886"/>
      <c r="D886"/>
      <c r="E886"/>
      <c r="F886"/>
      <c r="G886"/>
      <c r="H886"/>
      <c r="I886"/>
      <c r="J886"/>
      <c r="K886"/>
      <c r="L886"/>
      <c r="M886"/>
      <c r="N886"/>
    </row>
    <row r="887" spans="1:14" x14ac:dyDescent="0.4">
      <c r="A887"/>
      <c r="B887"/>
      <c r="C887"/>
      <c r="D887"/>
      <c r="E887"/>
      <c r="F887"/>
      <c r="G887"/>
      <c r="H887"/>
      <c r="I887"/>
      <c r="J887"/>
      <c r="K887"/>
      <c r="L887"/>
      <c r="M887"/>
      <c r="N887"/>
    </row>
    <row r="888" spans="1:14" x14ac:dyDescent="0.4">
      <c r="A888"/>
      <c r="B888"/>
      <c r="C888"/>
      <c r="D888"/>
      <c r="E888"/>
      <c r="F888"/>
      <c r="G888"/>
      <c r="H888"/>
      <c r="I888"/>
      <c r="J888"/>
      <c r="K888"/>
      <c r="L888"/>
      <c r="M888"/>
      <c r="N888"/>
    </row>
    <row r="889" spans="1:14" x14ac:dyDescent="0.4">
      <c r="A889"/>
      <c r="B889"/>
      <c r="C889"/>
      <c r="D889"/>
      <c r="E889"/>
      <c r="F889"/>
      <c r="G889"/>
      <c r="H889"/>
      <c r="I889"/>
      <c r="J889"/>
      <c r="K889"/>
      <c r="L889"/>
      <c r="M889"/>
      <c r="N889"/>
    </row>
    <row r="890" spans="1:14" x14ac:dyDescent="0.4">
      <c r="A890"/>
      <c r="B890"/>
      <c r="C890"/>
      <c r="D890"/>
      <c r="E890"/>
      <c r="F890"/>
      <c r="G890"/>
      <c r="H890"/>
      <c r="I890"/>
      <c r="J890"/>
      <c r="K890"/>
      <c r="L890"/>
      <c r="M890"/>
      <c r="N890"/>
    </row>
    <row r="891" spans="1:14" x14ac:dyDescent="0.4">
      <c r="A891"/>
      <c r="B891"/>
      <c r="C891"/>
      <c r="D891"/>
      <c r="E891"/>
      <c r="F891"/>
      <c r="G891"/>
      <c r="H891"/>
      <c r="I891"/>
      <c r="J891"/>
      <c r="K891"/>
      <c r="L891"/>
      <c r="M891"/>
      <c r="N891"/>
    </row>
    <row r="892" spans="1:14" x14ac:dyDescent="0.4">
      <c r="A892"/>
      <c r="B892"/>
      <c r="C892"/>
      <c r="D892"/>
      <c r="E892"/>
      <c r="F892"/>
      <c r="G892"/>
      <c r="H892"/>
      <c r="I892"/>
      <c r="J892"/>
      <c r="K892"/>
      <c r="L892"/>
      <c r="M892"/>
      <c r="N892"/>
    </row>
    <row r="893" spans="1:14" x14ac:dyDescent="0.4">
      <c r="A893"/>
      <c r="B893"/>
      <c r="C893"/>
      <c r="D893"/>
      <c r="E893"/>
      <c r="F893"/>
      <c r="G893"/>
      <c r="H893"/>
      <c r="I893"/>
      <c r="J893"/>
      <c r="K893"/>
      <c r="L893"/>
      <c r="M893"/>
      <c r="N893"/>
    </row>
    <row r="894" spans="1:14" x14ac:dyDescent="0.4">
      <c r="A894"/>
      <c r="B894"/>
      <c r="C894"/>
      <c r="D894"/>
      <c r="E894"/>
      <c r="F894"/>
      <c r="G894"/>
      <c r="H894"/>
      <c r="I894"/>
      <c r="J894"/>
      <c r="K894"/>
      <c r="L894"/>
      <c r="M894"/>
      <c r="N894"/>
    </row>
    <row r="895" spans="1:14" x14ac:dyDescent="0.4">
      <c r="A895"/>
      <c r="B895"/>
      <c r="C895"/>
      <c r="D895"/>
      <c r="E895"/>
      <c r="F895"/>
      <c r="G895"/>
      <c r="H895"/>
      <c r="I895"/>
      <c r="J895"/>
      <c r="K895"/>
      <c r="L895"/>
      <c r="M895"/>
      <c r="N895"/>
    </row>
    <row r="896" spans="1:14" x14ac:dyDescent="0.4">
      <c r="A896"/>
      <c r="B896"/>
      <c r="C896"/>
      <c r="D896"/>
      <c r="E896"/>
      <c r="F896"/>
      <c r="G896"/>
      <c r="H896"/>
      <c r="I896"/>
      <c r="J896"/>
      <c r="K896"/>
      <c r="L896"/>
      <c r="M896"/>
      <c r="N896"/>
    </row>
    <row r="897" spans="1:14" x14ac:dyDescent="0.4">
      <c r="A897"/>
      <c r="B897"/>
      <c r="C897"/>
      <c r="D897"/>
      <c r="E897"/>
      <c r="F897"/>
      <c r="G897"/>
      <c r="H897"/>
      <c r="I897"/>
      <c r="J897"/>
      <c r="K897"/>
      <c r="L897"/>
      <c r="M897"/>
      <c r="N897"/>
    </row>
    <row r="898" spans="1:14" x14ac:dyDescent="0.4">
      <c r="A898"/>
      <c r="B898"/>
      <c r="C898"/>
      <c r="D898"/>
      <c r="E898"/>
      <c r="F898"/>
      <c r="G898"/>
      <c r="H898"/>
      <c r="I898"/>
      <c r="J898"/>
      <c r="K898"/>
      <c r="L898"/>
      <c r="M898"/>
      <c r="N898"/>
    </row>
    <row r="899" spans="1:14" x14ac:dyDescent="0.4">
      <c r="A899"/>
      <c r="B899"/>
      <c r="C899"/>
      <c r="D899"/>
      <c r="E899"/>
      <c r="F899"/>
      <c r="G899"/>
      <c r="H899"/>
      <c r="I899"/>
      <c r="J899"/>
      <c r="K899"/>
      <c r="L899"/>
      <c r="M899"/>
      <c r="N899"/>
    </row>
    <row r="900" spans="1:14" x14ac:dyDescent="0.4">
      <c r="A900"/>
      <c r="B900"/>
      <c r="C900"/>
      <c r="D900"/>
      <c r="E900"/>
      <c r="F900"/>
      <c r="G900"/>
      <c r="H900"/>
      <c r="I900"/>
      <c r="J900"/>
      <c r="K900"/>
      <c r="L900"/>
      <c r="M900"/>
      <c r="N900"/>
    </row>
    <row r="901" spans="1:14" x14ac:dyDescent="0.4">
      <c r="A901"/>
      <c r="B901"/>
      <c r="C901"/>
      <c r="D901"/>
      <c r="E901"/>
      <c r="F901"/>
      <c r="G901"/>
      <c r="H901"/>
      <c r="I901"/>
      <c r="J901"/>
      <c r="K901"/>
      <c r="L901"/>
      <c r="M901"/>
      <c r="N901"/>
    </row>
    <row r="902" spans="1:14" x14ac:dyDescent="0.4">
      <c r="A902"/>
      <c r="B902"/>
      <c r="C902"/>
      <c r="D902"/>
      <c r="E902"/>
      <c r="F902"/>
      <c r="G902"/>
      <c r="H902"/>
      <c r="I902"/>
      <c r="J902"/>
      <c r="K902"/>
      <c r="L902"/>
      <c r="M902"/>
      <c r="N902"/>
    </row>
    <row r="903" spans="1:14" x14ac:dyDescent="0.4">
      <c r="A903"/>
      <c r="B903"/>
      <c r="C903"/>
      <c r="D903"/>
      <c r="E903"/>
      <c r="F903"/>
      <c r="G903"/>
      <c r="H903"/>
      <c r="I903"/>
      <c r="J903"/>
      <c r="K903"/>
      <c r="L903"/>
      <c r="M903"/>
      <c r="N903"/>
    </row>
    <row r="904" spans="1:14" x14ac:dyDescent="0.4">
      <c r="A904"/>
      <c r="B904"/>
      <c r="C904"/>
      <c r="D904"/>
      <c r="E904"/>
      <c r="F904"/>
      <c r="G904"/>
      <c r="H904"/>
      <c r="I904"/>
      <c r="J904"/>
      <c r="K904"/>
      <c r="L904"/>
      <c r="M904"/>
      <c r="N904"/>
    </row>
    <row r="905" spans="1:14" x14ac:dyDescent="0.4">
      <c r="A905"/>
      <c r="B905"/>
      <c r="C905"/>
      <c r="D905"/>
      <c r="E905"/>
      <c r="F905"/>
      <c r="G905"/>
      <c r="H905"/>
      <c r="I905"/>
      <c r="J905"/>
      <c r="K905"/>
      <c r="L905"/>
      <c r="M905"/>
      <c r="N905"/>
    </row>
    <row r="906" spans="1:14" x14ac:dyDescent="0.4">
      <c r="A906"/>
      <c r="B906"/>
      <c r="C906"/>
      <c r="D906"/>
      <c r="E906"/>
      <c r="F906"/>
      <c r="G906"/>
      <c r="H906"/>
      <c r="I906"/>
      <c r="J906"/>
      <c r="K906"/>
      <c r="L906"/>
      <c r="M906"/>
      <c r="N906"/>
    </row>
    <row r="907" spans="1:14" x14ac:dyDescent="0.4">
      <c r="A907"/>
      <c r="B907"/>
      <c r="C907"/>
      <c r="D907"/>
      <c r="E907"/>
      <c r="F907"/>
      <c r="G907"/>
      <c r="H907"/>
      <c r="I907"/>
      <c r="J907"/>
      <c r="K907"/>
      <c r="L907"/>
      <c r="M907"/>
      <c r="N907"/>
    </row>
    <row r="908" spans="1:14" x14ac:dyDescent="0.4">
      <c r="A908"/>
      <c r="B908"/>
      <c r="C908"/>
      <c r="D908"/>
      <c r="E908"/>
      <c r="F908"/>
      <c r="G908"/>
      <c r="H908"/>
      <c r="I908"/>
      <c r="J908"/>
      <c r="K908"/>
      <c r="L908"/>
      <c r="M908"/>
      <c r="N908"/>
    </row>
    <row r="909" spans="1:14" x14ac:dyDescent="0.4">
      <c r="A909"/>
      <c r="B909"/>
      <c r="C909"/>
      <c r="D909"/>
      <c r="E909"/>
      <c r="F909"/>
      <c r="G909"/>
      <c r="H909"/>
      <c r="I909"/>
      <c r="J909"/>
      <c r="K909"/>
      <c r="L909"/>
      <c r="M909"/>
      <c r="N909"/>
    </row>
    <row r="910" spans="1:14" x14ac:dyDescent="0.4">
      <c r="A910"/>
      <c r="B910"/>
      <c r="C910"/>
      <c r="D910"/>
      <c r="E910"/>
      <c r="F910"/>
      <c r="G910"/>
      <c r="H910"/>
      <c r="I910"/>
      <c r="J910"/>
      <c r="K910"/>
      <c r="L910"/>
      <c r="M910"/>
      <c r="N910"/>
    </row>
    <row r="911" spans="1:14" x14ac:dyDescent="0.4">
      <c r="A911"/>
      <c r="B911"/>
      <c r="C911"/>
      <c r="D911"/>
      <c r="E911"/>
      <c r="F911"/>
      <c r="G911"/>
      <c r="H911"/>
      <c r="I911"/>
      <c r="J911"/>
      <c r="K911"/>
      <c r="L911"/>
      <c r="M911"/>
      <c r="N911"/>
    </row>
    <row r="912" spans="1:14" x14ac:dyDescent="0.4">
      <c r="A912"/>
      <c r="B912"/>
      <c r="C912"/>
      <c r="D912"/>
      <c r="E912"/>
      <c r="F912"/>
      <c r="G912"/>
      <c r="H912"/>
      <c r="I912"/>
      <c r="J912"/>
      <c r="K912"/>
      <c r="L912"/>
      <c r="M912"/>
      <c r="N912"/>
    </row>
    <row r="913" spans="1:14" x14ac:dyDescent="0.4">
      <c r="A913"/>
      <c r="B913"/>
      <c r="C913"/>
      <c r="D913"/>
      <c r="E913"/>
      <c r="F913"/>
      <c r="G913"/>
      <c r="H913"/>
      <c r="I913"/>
      <c r="J913"/>
      <c r="K913"/>
      <c r="L913"/>
      <c r="M913"/>
      <c r="N913"/>
    </row>
    <row r="914" spans="1:14" x14ac:dyDescent="0.4">
      <c r="A914"/>
      <c r="B914"/>
      <c r="C914"/>
      <c r="D914"/>
      <c r="E914"/>
      <c r="F914"/>
      <c r="G914"/>
      <c r="H914"/>
      <c r="I914"/>
      <c r="J914"/>
      <c r="K914"/>
      <c r="L914"/>
      <c r="M914"/>
      <c r="N914"/>
    </row>
    <row r="915" spans="1:14" x14ac:dyDescent="0.4">
      <c r="A915"/>
      <c r="B915"/>
      <c r="C915"/>
      <c r="D915"/>
      <c r="E915"/>
      <c r="F915"/>
      <c r="G915"/>
      <c r="H915"/>
      <c r="I915"/>
      <c r="J915"/>
      <c r="K915"/>
      <c r="L915"/>
      <c r="M915"/>
      <c r="N915"/>
    </row>
    <row r="916" spans="1:14" x14ac:dyDescent="0.4">
      <c r="A916"/>
      <c r="B916"/>
      <c r="C916"/>
      <c r="D916"/>
      <c r="E916"/>
      <c r="F916"/>
      <c r="G916"/>
      <c r="H916"/>
      <c r="I916"/>
      <c r="J916"/>
      <c r="K916"/>
      <c r="L916"/>
      <c r="M916"/>
      <c r="N916"/>
    </row>
    <row r="917" spans="1:14" x14ac:dyDescent="0.4">
      <c r="A917"/>
      <c r="B917"/>
      <c r="C917"/>
      <c r="D917"/>
      <c r="E917"/>
      <c r="F917"/>
      <c r="G917"/>
      <c r="H917"/>
      <c r="I917"/>
      <c r="J917"/>
      <c r="K917"/>
      <c r="L917"/>
      <c r="M917"/>
      <c r="N917"/>
    </row>
    <row r="918" spans="1:14" x14ac:dyDescent="0.4">
      <c r="A918"/>
      <c r="B918"/>
      <c r="C918"/>
      <c r="D918"/>
      <c r="E918"/>
      <c r="F918"/>
      <c r="G918"/>
      <c r="H918"/>
      <c r="I918"/>
      <c r="J918"/>
      <c r="K918"/>
      <c r="L918"/>
      <c r="M918"/>
      <c r="N918"/>
    </row>
    <row r="919" spans="1:14" x14ac:dyDescent="0.4">
      <c r="A919"/>
      <c r="B919"/>
      <c r="C919"/>
      <c r="D919"/>
      <c r="E919"/>
      <c r="F919"/>
      <c r="G919"/>
      <c r="H919"/>
      <c r="I919"/>
      <c r="J919"/>
      <c r="K919"/>
      <c r="L919"/>
      <c r="M919"/>
      <c r="N919"/>
    </row>
    <row r="920" spans="1:14" x14ac:dyDescent="0.4">
      <c r="A920"/>
      <c r="B920"/>
      <c r="C920"/>
      <c r="D920"/>
      <c r="E920"/>
      <c r="F920"/>
      <c r="G920"/>
      <c r="H920"/>
      <c r="I920"/>
      <c r="J920"/>
      <c r="K920"/>
      <c r="L920"/>
      <c r="M920"/>
      <c r="N920"/>
    </row>
    <row r="921" spans="1:14" x14ac:dyDescent="0.4">
      <c r="A921"/>
      <c r="B921"/>
      <c r="C921"/>
      <c r="D921"/>
      <c r="E921"/>
      <c r="F921"/>
      <c r="G921"/>
      <c r="H921"/>
      <c r="I921"/>
      <c r="J921"/>
      <c r="K921"/>
      <c r="L921"/>
      <c r="M921"/>
      <c r="N921"/>
    </row>
    <row r="922" spans="1:14" x14ac:dyDescent="0.4">
      <c r="A922"/>
      <c r="B922"/>
      <c r="C922"/>
      <c r="D922"/>
      <c r="E922"/>
      <c r="F922"/>
      <c r="G922"/>
      <c r="H922"/>
      <c r="I922"/>
      <c r="J922"/>
      <c r="K922"/>
      <c r="L922"/>
      <c r="M922"/>
      <c r="N922"/>
    </row>
    <row r="923" spans="1:14" x14ac:dyDescent="0.4">
      <c r="A923"/>
      <c r="B923"/>
      <c r="C923"/>
      <c r="D923"/>
      <c r="E923"/>
      <c r="F923"/>
      <c r="G923"/>
      <c r="H923"/>
      <c r="I923"/>
      <c r="J923"/>
      <c r="K923"/>
      <c r="L923"/>
      <c r="M923"/>
      <c r="N923"/>
    </row>
    <row r="924" spans="1:14" x14ac:dyDescent="0.4">
      <c r="A924"/>
      <c r="B924"/>
      <c r="C924"/>
      <c r="D924"/>
      <c r="E924"/>
      <c r="F924"/>
      <c r="G924"/>
      <c r="H924"/>
      <c r="I924"/>
      <c r="J924"/>
      <c r="K924"/>
      <c r="L924"/>
      <c r="M924"/>
      <c r="N924"/>
    </row>
    <row r="925" spans="1:14" x14ac:dyDescent="0.4">
      <c r="A925"/>
      <c r="B925"/>
      <c r="C925"/>
      <c r="D925"/>
      <c r="E925"/>
      <c r="F925"/>
      <c r="G925"/>
      <c r="H925"/>
      <c r="I925"/>
      <c r="J925"/>
      <c r="K925"/>
      <c r="L925"/>
      <c r="M925"/>
      <c r="N925"/>
    </row>
    <row r="926" spans="1:14" x14ac:dyDescent="0.4">
      <c r="A926"/>
      <c r="B926"/>
      <c r="C926"/>
      <c r="D926"/>
      <c r="E926"/>
      <c r="F926"/>
      <c r="G926"/>
      <c r="H926"/>
      <c r="I926"/>
      <c r="J926"/>
      <c r="K926"/>
      <c r="L926"/>
      <c r="M926"/>
      <c r="N926"/>
    </row>
    <row r="927" spans="1:14" x14ac:dyDescent="0.4">
      <c r="A927"/>
      <c r="B927"/>
      <c r="C927"/>
      <c r="D927"/>
      <c r="E927"/>
      <c r="F927"/>
      <c r="G927"/>
      <c r="H927"/>
      <c r="I927"/>
      <c r="J927"/>
      <c r="K927"/>
      <c r="L927"/>
      <c r="M927"/>
      <c r="N927"/>
    </row>
    <row r="928" spans="1:14" x14ac:dyDescent="0.4">
      <c r="A928"/>
      <c r="B928"/>
      <c r="C928"/>
      <c r="D928"/>
      <c r="E928"/>
      <c r="F928"/>
      <c r="G928"/>
      <c r="H928"/>
      <c r="I928"/>
      <c r="J928"/>
      <c r="K928"/>
      <c r="L928"/>
      <c r="M928"/>
      <c r="N928"/>
    </row>
    <row r="929" spans="1:14" x14ac:dyDescent="0.4">
      <c r="A929"/>
      <c r="B929"/>
      <c r="C929"/>
      <c r="D929"/>
      <c r="E929"/>
      <c r="F929"/>
      <c r="G929"/>
      <c r="H929"/>
      <c r="I929"/>
      <c r="J929"/>
      <c r="K929"/>
      <c r="L929"/>
      <c r="M929"/>
      <c r="N929"/>
    </row>
    <row r="930" spans="1:14" x14ac:dyDescent="0.4">
      <c r="A930"/>
      <c r="B930"/>
      <c r="C930"/>
      <c r="D930"/>
      <c r="E930"/>
      <c r="F930"/>
      <c r="G930"/>
      <c r="H930"/>
      <c r="I930"/>
      <c r="J930"/>
      <c r="K930"/>
      <c r="L930"/>
      <c r="M930"/>
      <c r="N930"/>
    </row>
    <row r="931" spans="1:14" x14ac:dyDescent="0.4">
      <c r="A931"/>
      <c r="B931"/>
      <c r="C931"/>
      <c r="D931"/>
      <c r="E931"/>
      <c r="F931"/>
      <c r="G931"/>
      <c r="H931"/>
      <c r="I931"/>
      <c r="J931"/>
      <c r="K931"/>
      <c r="L931"/>
      <c r="M931"/>
      <c r="N931"/>
    </row>
    <row r="932" spans="1:14" x14ac:dyDescent="0.4">
      <c r="A932"/>
      <c r="B932"/>
      <c r="C932"/>
      <c r="D932"/>
      <c r="E932"/>
      <c r="F932"/>
      <c r="G932"/>
      <c r="H932"/>
      <c r="I932"/>
      <c r="J932"/>
      <c r="K932"/>
      <c r="L932"/>
      <c r="M932"/>
      <c r="N932"/>
    </row>
    <row r="933" spans="1:14" x14ac:dyDescent="0.4">
      <c r="A933"/>
      <c r="B933"/>
      <c r="C933"/>
      <c r="D933"/>
      <c r="E933"/>
      <c r="F933"/>
      <c r="G933"/>
      <c r="H933"/>
      <c r="I933"/>
      <c r="J933"/>
      <c r="K933"/>
      <c r="L933"/>
      <c r="M933"/>
      <c r="N933"/>
    </row>
    <row r="934" spans="1:14" x14ac:dyDescent="0.4">
      <c r="A934"/>
      <c r="B934"/>
      <c r="C934"/>
      <c r="D934"/>
      <c r="E934"/>
      <c r="F934"/>
      <c r="G934"/>
      <c r="H934"/>
      <c r="I934"/>
      <c r="J934"/>
      <c r="K934"/>
      <c r="L934"/>
      <c r="M934"/>
      <c r="N934"/>
    </row>
    <row r="935" spans="1:14" x14ac:dyDescent="0.4">
      <c r="A935"/>
      <c r="B935"/>
      <c r="C935"/>
      <c r="D935"/>
      <c r="E935"/>
      <c r="F935"/>
      <c r="G935"/>
      <c r="H935"/>
      <c r="I935"/>
      <c r="J935"/>
      <c r="K935"/>
      <c r="L935"/>
      <c r="M935"/>
      <c r="N935"/>
    </row>
    <row r="936" spans="1:14" x14ac:dyDescent="0.4">
      <c r="A936"/>
      <c r="B936"/>
      <c r="C936"/>
      <c r="D936"/>
      <c r="E936"/>
      <c r="F936"/>
      <c r="G936"/>
      <c r="H936"/>
      <c r="I936"/>
      <c r="J936"/>
      <c r="K936"/>
      <c r="L936"/>
      <c r="M936"/>
      <c r="N936"/>
    </row>
    <row r="937" spans="1:14" x14ac:dyDescent="0.4">
      <c r="A937"/>
      <c r="B937"/>
      <c r="C937"/>
      <c r="D937"/>
      <c r="E937"/>
      <c r="F937"/>
      <c r="G937"/>
      <c r="H937"/>
      <c r="I937"/>
      <c r="J937"/>
      <c r="K937"/>
      <c r="L937"/>
      <c r="M937"/>
      <c r="N937"/>
    </row>
    <row r="938" spans="1:14" x14ac:dyDescent="0.4">
      <c r="A938"/>
      <c r="B938"/>
      <c r="C938"/>
      <c r="D938"/>
      <c r="E938"/>
      <c r="F938"/>
      <c r="G938"/>
      <c r="H938"/>
      <c r="I938"/>
      <c r="J938"/>
      <c r="K938"/>
      <c r="L938"/>
      <c r="M938"/>
      <c r="N938"/>
    </row>
    <row r="939" spans="1:14" x14ac:dyDescent="0.4">
      <c r="A939"/>
      <c r="B939"/>
      <c r="C939"/>
      <c r="D939"/>
      <c r="E939"/>
      <c r="F939"/>
      <c r="G939"/>
      <c r="H939"/>
      <c r="I939"/>
      <c r="J939"/>
      <c r="K939"/>
      <c r="L939"/>
      <c r="M939"/>
      <c r="N939"/>
    </row>
    <row r="940" spans="1:14" x14ac:dyDescent="0.4">
      <c r="A940"/>
      <c r="B940"/>
      <c r="C940"/>
      <c r="D940"/>
      <c r="E940"/>
      <c r="F940"/>
      <c r="G940"/>
      <c r="H940"/>
      <c r="I940"/>
      <c r="J940"/>
      <c r="K940"/>
      <c r="L940"/>
      <c r="M940"/>
      <c r="N940"/>
    </row>
    <row r="941" spans="1:14" x14ac:dyDescent="0.4">
      <c r="A941"/>
      <c r="B941"/>
      <c r="C941"/>
      <c r="D941"/>
      <c r="E941"/>
      <c r="F941"/>
      <c r="G941"/>
      <c r="H941"/>
      <c r="I941"/>
      <c r="J941"/>
      <c r="K941"/>
      <c r="L941"/>
      <c r="M941"/>
      <c r="N941"/>
    </row>
    <row r="942" spans="1:14" x14ac:dyDescent="0.4">
      <c r="A942"/>
      <c r="B942"/>
      <c r="C942"/>
      <c r="D942"/>
      <c r="E942"/>
      <c r="F942"/>
      <c r="G942"/>
      <c r="H942"/>
      <c r="I942"/>
      <c r="J942"/>
      <c r="K942"/>
      <c r="L942"/>
      <c r="M942"/>
      <c r="N942"/>
    </row>
    <row r="943" spans="1:14" x14ac:dyDescent="0.4">
      <c r="A943"/>
      <c r="B943"/>
      <c r="C943"/>
      <c r="D943"/>
      <c r="E943"/>
      <c r="F943"/>
      <c r="G943"/>
      <c r="H943"/>
      <c r="I943"/>
      <c r="J943"/>
      <c r="K943"/>
      <c r="L943"/>
      <c r="M943"/>
      <c r="N943"/>
    </row>
    <row r="944" spans="1:14" x14ac:dyDescent="0.4">
      <c r="A944"/>
      <c r="B944"/>
      <c r="C944"/>
      <c r="D944"/>
      <c r="E944"/>
      <c r="F944"/>
      <c r="G944"/>
      <c r="H944"/>
      <c r="I944"/>
      <c r="J944"/>
      <c r="K944"/>
      <c r="L944"/>
      <c r="M944"/>
      <c r="N944"/>
    </row>
    <row r="945" spans="1:14" x14ac:dyDescent="0.4">
      <c r="A945"/>
      <c r="B945"/>
      <c r="C945"/>
      <c r="D945"/>
      <c r="E945"/>
      <c r="F945"/>
      <c r="G945"/>
      <c r="H945"/>
      <c r="I945"/>
      <c r="J945"/>
      <c r="K945"/>
      <c r="L945"/>
      <c r="M945"/>
      <c r="N945"/>
    </row>
    <row r="946" spans="1:14" x14ac:dyDescent="0.4">
      <c r="A946"/>
      <c r="B946"/>
      <c r="C946"/>
      <c r="D946"/>
      <c r="E946"/>
      <c r="F946"/>
      <c r="G946"/>
      <c r="H946"/>
      <c r="I946"/>
      <c r="J946"/>
      <c r="K946"/>
      <c r="L946"/>
      <c r="M946"/>
      <c r="N946"/>
    </row>
    <row r="947" spans="1:14" x14ac:dyDescent="0.4">
      <c r="A947"/>
      <c r="B947"/>
      <c r="C947"/>
      <c r="D947"/>
      <c r="E947"/>
      <c r="F947"/>
      <c r="G947"/>
      <c r="H947"/>
      <c r="I947"/>
      <c r="J947"/>
      <c r="K947"/>
      <c r="L947"/>
      <c r="M947"/>
      <c r="N947"/>
    </row>
    <row r="948" spans="1:14" x14ac:dyDescent="0.4">
      <c r="A948"/>
      <c r="B948"/>
      <c r="C948"/>
      <c r="D948"/>
      <c r="E948"/>
      <c r="F948"/>
      <c r="G948"/>
      <c r="H948"/>
      <c r="I948"/>
      <c r="J948"/>
      <c r="K948"/>
      <c r="L948"/>
      <c r="M948"/>
      <c r="N948"/>
    </row>
    <row r="949" spans="1:14" x14ac:dyDescent="0.4">
      <c r="A949"/>
      <c r="B949"/>
      <c r="C949"/>
      <c r="D949"/>
      <c r="E949"/>
      <c r="F949"/>
      <c r="G949"/>
      <c r="H949"/>
      <c r="I949"/>
      <c r="J949"/>
      <c r="K949"/>
      <c r="L949"/>
      <c r="M949"/>
      <c r="N949"/>
    </row>
    <row r="950" spans="1:14" x14ac:dyDescent="0.4">
      <c r="A950"/>
      <c r="B950"/>
      <c r="C950"/>
      <c r="D950"/>
      <c r="E950"/>
      <c r="F950"/>
      <c r="G950"/>
      <c r="H950"/>
      <c r="I950"/>
      <c r="J950"/>
      <c r="K950"/>
      <c r="L950"/>
      <c r="M950"/>
      <c r="N950"/>
    </row>
    <row r="951" spans="1:14" x14ac:dyDescent="0.4">
      <c r="A951"/>
      <c r="B951"/>
      <c r="C951"/>
      <c r="D951"/>
      <c r="E951"/>
      <c r="F951"/>
      <c r="G951"/>
      <c r="H951"/>
      <c r="I951"/>
      <c r="J951"/>
      <c r="K951"/>
      <c r="L951"/>
      <c r="M951"/>
      <c r="N951"/>
    </row>
    <row r="952" spans="1:14" x14ac:dyDescent="0.4">
      <c r="A952"/>
      <c r="B952"/>
      <c r="C952"/>
      <c r="D952"/>
      <c r="E952"/>
      <c r="F952"/>
      <c r="G952"/>
      <c r="H952"/>
      <c r="I952"/>
      <c r="J952"/>
      <c r="K952"/>
      <c r="L952"/>
      <c r="M952"/>
      <c r="N952"/>
    </row>
    <row r="953" spans="1:14" x14ac:dyDescent="0.4">
      <c r="A953"/>
      <c r="B953"/>
      <c r="C953"/>
      <c r="D953"/>
      <c r="E953"/>
      <c r="F953"/>
      <c r="G953"/>
      <c r="H953"/>
      <c r="I953"/>
      <c r="J953"/>
      <c r="K953"/>
      <c r="L953"/>
      <c r="M953"/>
      <c r="N953"/>
    </row>
    <row r="954" spans="1:14" x14ac:dyDescent="0.4">
      <c r="A954"/>
      <c r="B954"/>
      <c r="C954"/>
      <c r="D954"/>
      <c r="E954"/>
      <c r="F954"/>
      <c r="G954"/>
      <c r="H954"/>
      <c r="I954"/>
      <c r="J954"/>
      <c r="K954"/>
      <c r="L954"/>
      <c r="M954"/>
      <c r="N954"/>
    </row>
    <row r="955" spans="1:14" x14ac:dyDescent="0.4">
      <c r="A955"/>
      <c r="B955"/>
      <c r="C955"/>
      <c r="D955"/>
      <c r="E955"/>
      <c r="F955"/>
      <c r="G955"/>
      <c r="H955"/>
      <c r="I955"/>
      <c r="J955"/>
      <c r="K955"/>
      <c r="L955"/>
      <c r="M955"/>
      <c r="N955"/>
    </row>
    <row r="956" spans="1:14" x14ac:dyDescent="0.4">
      <c r="A956"/>
      <c r="B956"/>
      <c r="C956"/>
      <c r="D956"/>
      <c r="E956"/>
      <c r="F956"/>
      <c r="G956"/>
      <c r="H956"/>
      <c r="I956"/>
      <c r="J956"/>
      <c r="K956"/>
      <c r="L956"/>
      <c r="M956"/>
      <c r="N956"/>
    </row>
    <row r="957" spans="1:14" x14ac:dyDescent="0.4">
      <c r="A957"/>
      <c r="B957"/>
      <c r="C957"/>
      <c r="D957"/>
      <c r="E957"/>
      <c r="F957"/>
      <c r="G957"/>
      <c r="H957"/>
      <c r="I957"/>
      <c r="J957"/>
      <c r="K957"/>
      <c r="L957"/>
      <c r="M957"/>
      <c r="N957"/>
    </row>
    <row r="958" spans="1:14" x14ac:dyDescent="0.4">
      <c r="A958"/>
      <c r="B958"/>
      <c r="C958"/>
      <c r="D958"/>
      <c r="E958"/>
      <c r="F958"/>
      <c r="G958"/>
      <c r="H958"/>
      <c r="I958"/>
      <c r="J958"/>
      <c r="K958"/>
      <c r="L958"/>
      <c r="M958"/>
      <c r="N958"/>
    </row>
    <row r="959" spans="1:14" x14ac:dyDescent="0.4">
      <c r="A959"/>
      <c r="B959"/>
      <c r="C959"/>
      <c r="D959"/>
      <c r="E959"/>
      <c r="F959"/>
      <c r="G959"/>
      <c r="H959"/>
      <c r="I959"/>
      <c r="J959"/>
      <c r="K959"/>
      <c r="L959"/>
      <c r="M959"/>
      <c r="N959"/>
    </row>
    <row r="960" spans="1:14" x14ac:dyDescent="0.4">
      <c r="A960"/>
      <c r="B960"/>
      <c r="C960"/>
      <c r="D960"/>
      <c r="E960"/>
      <c r="F960"/>
      <c r="G960"/>
      <c r="H960"/>
      <c r="I960"/>
      <c r="J960"/>
      <c r="K960"/>
      <c r="L960"/>
      <c r="M960"/>
      <c r="N960"/>
    </row>
    <row r="961" spans="1:14" x14ac:dyDescent="0.4">
      <c r="A961"/>
      <c r="B961"/>
      <c r="C961"/>
      <c r="D961"/>
      <c r="E961"/>
      <c r="F961"/>
      <c r="G961"/>
      <c r="H961"/>
      <c r="I961"/>
      <c r="J961"/>
      <c r="K961"/>
      <c r="L961"/>
      <c r="M961"/>
      <c r="N961"/>
    </row>
    <row r="962" spans="1:14" x14ac:dyDescent="0.4">
      <c r="A962"/>
      <c r="B962"/>
      <c r="C962"/>
      <c r="D962"/>
      <c r="E962"/>
      <c r="F962"/>
      <c r="G962"/>
      <c r="H962"/>
      <c r="I962"/>
      <c r="J962"/>
      <c r="K962"/>
      <c r="L962"/>
      <c r="M962"/>
      <c r="N962"/>
    </row>
    <row r="963" spans="1:14" x14ac:dyDescent="0.4">
      <c r="A963"/>
      <c r="B963"/>
      <c r="C963"/>
      <c r="D963"/>
      <c r="E963"/>
      <c r="F963"/>
      <c r="G963"/>
      <c r="H963"/>
      <c r="I963"/>
      <c r="J963"/>
      <c r="K963"/>
      <c r="L963"/>
      <c r="M963"/>
      <c r="N963"/>
    </row>
    <row r="964" spans="1:14" x14ac:dyDescent="0.4">
      <c r="A964"/>
      <c r="B964"/>
      <c r="C964"/>
      <c r="D964"/>
      <c r="E964"/>
      <c r="F964"/>
      <c r="G964"/>
      <c r="H964"/>
      <c r="I964"/>
      <c r="J964"/>
      <c r="K964"/>
      <c r="L964"/>
      <c r="M964"/>
      <c r="N964"/>
    </row>
    <row r="965" spans="1:14" x14ac:dyDescent="0.4">
      <c r="A965"/>
      <c r="B965"/>
      <c r="C965"/>
      <c r="D965"/>
      <c r="E965"/>
      <c r="F965"/>
      <c r="G965"/>
      <c r="H965"/>
      <c r="I965"/>
      <c r="J965"/>
      <c r="K965"/>
      <c r="L965"/>
      <c r="M965"/>
      <c r="N965"/>
    </row>
    <row r="966" spans="1:14" x14ac:dyDescent="0.4">
      <c r="A966"/>
      <c r="B966"/>
      <c r="C966"/>
      <c r="D966"/>
      <c r="E966"/>
      <c r="F966"/>
      <c r="G966"/>
      <c r="H966"/>
      <c r="I966"/>
      <c r="J966"/>
      <c r="K966"/>
      <c r="L966"/>
      <c r="M966"/>
      <c r="N966"/>
    </row>
    <row r="967" spans="1:14" x14ac:dyDescent="0.4">
      <c r="A967"/>
      <c r="B967"/>
      <c r="C967"/>
      <c r="D967"/>
      <c r="E967"/>
      <c r="F967"/>
      <c r="G967"/>
      <c r="H967"/>
      <c r="I967"/>
      <c r="J967"/>
      <c r="K967"/>
      <c r="L967"/>
      <c r="M967"/>
      <c r="N967"/>
    </row>
    <row r="968" spans="1:14" x14ac:dyDescent="0.4">
      <c r="A968"/>
      <c r="B968"/>
      <c r="C968"/>
      <c r="D968"/>
      <c r="E968"/>
      <c r="F968"/>
      <c r="G968"/>
      <c r="H968"/>
      <c r="I968"/>
      <c r="J968"/>
      <c r="K968"/>
      <c r="L968"/>
      <c r="M968"/>
      <c r="N968"/>
    </row>
    <row r="969" spans="1:14" x14ac:dyDescent="0.4">
      <c r="A969"/>
      <c r="B969"/>
      <c r="C969"/>
      <c r="D969"/>
      <c r="E969"/>
      <c r="F969"/>
      <c r="G969"/>
      <c r="H969"/>
      <c r="I969"/>
      <c r="J969"/>
      <c r="K969"/>
      <c r="L969"/>
      <c r="M969"/>
      <c r="N969"/>
    </row>
    <row r="970" spans="1:14" x14ac:dyDescent="0.4">
      <c r="A970"/>
      <c r="B970"/>
      <c r="C970"/>
      <c r="D970"/>
      <c r="E970"/>
      <c r="F970"/>
      <c r="G970"/>
      <c r="H970"/>
      <c r="I970"/>
      <c r="J970"/>
      <c r="K970"/>
      <c r="L970"/>
      <c r="M970"/>
      <c r="N970"/>
    </row>
    <row r="971" spans="1:14" x14ac:dyDescent="0.4">
      <c r="A971"/>
      <c r="B971"/>
      <c r="C971"/>
      <c r="D971"/>
      <c r="E971"/>
      <c r="F971"/>
      <c r="G971"/>
      <c r="H971"/>
      <c r="I971"/>
      <c r="J971"/>
      <c r="K971"/>
      <c r="L971"/>
      <c r="M971"/>
      <c r="N971"/>
    </row>
    <row r="972" spans="1:14" x14ac:dyDescent="0.4">
      <c r="A972"/>
      <c r="B972"/>
      <c r="C972"/>
      <c r="D972"/>
      <c r="E972"/>
      <c r="F972"/>
      <c r="G972"/>
      <c r="H972"/>
      <c r="I972"/>
      <c r="J972"/>
      <c r="K972"/>
      <c r="L972"/>
      <c r="M972"/>
      <c r="N972"/>
    </row>
    <row r="973" spans="1:14" x14ac:dyDescent="0.4">
      <c r="A973"/>
      <c r="B973"/>
      <c r="C973"/>
      <c r="D973"/>
      <c r="E973"/>
      <c r="F973"/>
      <c r="G973"/>
      <c r="H973"/>
      <c r="I973"/>
      <c r="J973"/>
      <c r="K973"/>
      <c r="L973"/>
      <c r="M973"/>
      <c r="N973"/>
    </row>
    <row r="974" spans="1:14" x14ac:dyDescent="0.4">
      <c r="A974"/>
      <c r="B974"/>
      <c r="C974"/>
      <c r="D974"/>
      <c r="E974"/>
      <c r="F974"/>
      <c r="G974"/>
      <c r="H974"/>
      <c r="I974"/>
      <c r="J974"/>
      <c r="K974"/>
      <c r="L974"/>
      <c r="M974"/>
      <c r="N974"/>
    </row>
    <row r="975" spans="1:14" x14ac:dyDescent="0.4">
      <c r="A975"/>
      <c r="B975"/>
      <c r="C975"/>
      <c r="D975"/>
      <c r="E975"/>
      <c r="F975"/>
      <c r="G975"/>
      <c r="H975"/>
      <c r="I975"/>
      <c r="J975"/>
      <c r="K975"/>
      <c r="L975"/>
      <c r="M975"/>
      <c r="N975"/>
    </row>
    <row r="976" spans="1:14" x14ac:dyDescent="0.4">
      <c r="A976"/>
      <c r="B976"/>
      <c r="C976"/>
      <c r="D976"/>
      <c r="E976"/>
      <c r="F976"/>
      <c r="G976"/>
      <c r="H976"/>
      <c r="I976"/>
      <c r="J976"/>
      <c r="K976"/>
      <c r="L976"/>
      <c r="M976"/>
      <c r="N976"/>
    </row>
    <row r="977" spans="1:14" x14ac:dyDescent="0.4">
      <c r="A977"/>
      <c r="B977"/>
      <c r="C977"/>
      <c r="D977"/>
      <c r="E977"/>
      <c r="F977"/>
      <c r="G977"/>
      <c r="H977"/>
      <c r="I977"/>
      <c r="J977"/>
      <c r="K977"/>
      <c r="L977"/>
      <c r="M977"/>
      <c r="N977"/>
    </row>
    <row r="978" spans="1:14" x14ac:dyDescent="0.4">
      <c r="A978"/>
      <c r="B978"/>
      <c r="C978"/>
      <c r="D978"/>
      <c r="E978"/>
      <c r="F978"/>
      <c r="G978"/>
      <c r="H978"/>
      <c r="I978"/>
      <c r="J978"/>
      <c r="K978"/>
      <c r="L978"/>
      <c r="M978"/>
      <c r="N978"/>
    </row>
    <row r="979" spans="1:14" x14ac:dyDescent="0.4">
      <c r="A979"/>
      <c r="B979"/>
      <c r="C979"/>
      <c r="D979"/>
      <c r="E979"/>
      <c r="F979"/>
      <c r="G979"/>
      <c r="H979"/>
      <c r="I979"/>
      <c r="J979"/>
      <c r="K979"/>
      <c r="L979"/>
      <c r="M979"/>
      <c r="N979"/>
    </row>
    <row r="980" spans="1:14" x14ac:dyDescent="0.4">
      <c r="A980"/>
      <c r="B980"/>
      <c r="C980"/>
      <c r="D980"/>
      <c r="E980"/>
      <c r="F980"/>
      <c r="G980"/>
      <c r="H980"/>
      <c r="I980"/>
      <c r="J980"/>
      <c r="K980"/>
      <c r="L980"/>
      <c r="M980"/>
      <c r="N980"/>
    </row>
    <row r="981" spans="1:14" x14ac:dyDescent="0.4">
      <c r="A981"/>
      <c r="B981"/>
      <c r="C981"/>
      <c r="D981"/>
      <c r="E981"/>
      <c r="F981"/>
      <c r="G981"/>
      <c r="H981"/>
      <c r="I981"/>
      <c r="J981"/>
      <c r="K981"/>
      <c r="L981"/>
      <c r="M981"/>
      <c r="N981"/>
    </row>
    <row r="982" spans="1:14" x14ac:dyDescent="0.4">
      <c r="A982"/>
      <c r="B982"/>
      <c r="C982"/>
      <c r="D982"/>
      <c r="E982"/>
      <c r="F982"/>
      <c r="G982"/>
      <c r="H982"/>
      <c r="I982"/>
      <c r="J982"/>
      <c r="K982"/>
      <c r="L982"/>
      <c r="M982"/>
      <c r="N982"/>
    </row>
    <row r="983" spans="1:14" x14ac:dyDescent="0.4">
      <c r="A983"/>
      <c r="B983"/>
      <c r="C983"/>
      <c r="D983"/>
      <c r="E983"/>
      <c r="F983"/>
      <c r="G983"/>
      <c r="H983"/>
      <c r="I983"/>
      <c r="J983"/>
      <c r="K983"/>
      <c r="L983"/>
      <c r="M983"/>
      <c r="N983"/>
    </row>
    <row r="984" spans="1:14" x14ac:dyDescent="0.4">
      <c r="A984"/>
      <c r="B984"/>
      <c r="C984"/>
      <c r="D984"/>
      <c r="E984"/>
      <c r="F984"/>
      <c r="G984"/>
      <c r="H984"/>
      <c r="I984"/>
      <c r="J984"/>
      <c r="K984"/>
      <c r="L984"/>
      <c r="M984"/>
      <c r="N984"/>
    </row>
    <row r="985" spans="1:14" x14ac:dyDescent="0.4">
      <c r="A985"/>
      <c r="B985"/>
      <c r="C985"/>
      <c r="D985"/>
      <c r="E985"/>
      <c r="F985"/>
      <c r="G985"/>
      <c r="H985"/>
      <c r="I985"/>
      <c r="J985"/>
      <c r="K985"/>
      <c r="L985"/>
      <c r="M985"/>
      <c r="N985"/>
    </row>
    <row r="986" spans="1:14" x14ac:dyDescent="0.4">
      <c r="A986"/>
      <c r="B986"/>
      <c r="C986"/>
      <c r="D986"/>
      <c r="E986"/>
      <c r="F986"/>
      <c r="G986"/>
      <c r="H986"/>
      <c r="I986"/>
      <c r="J986"/>
      <c r="K986"/>
      <c r="L986"/>
      <c r="M986"/>
      <c r="N986"/>
    </row>
    <row r="987" spans="1:14" x14ac:dyDescent="0.4">
      <c r="A987"/>
      <c r="B987"/>
      <c r="C987"/>
      <c r="D987"/>
      <c r="E987"/>
      <c r="F987"/>
      <c r="G987"/>
      <c r="H987"/>
      <c r="I987"/>
      <c r="J987"/>
      <c r="K987"/>
      <c r="L987"/>
      <c r="M987"/>
      <c r="N987"/>
    </row>
    <row r="988" spans="1:14" x14ac:dyDescent="0.4">
      <c r="A988"/>
      <c r="B988"/>
      <c r="C988"/>
      <c r="D988"/>
      <c r="E988"/>
      <c r="F988"/>
      <c r="G988"/>
      <c r="H988"/>
      <c r="I988"/>
      <c r="J988"/>
      <c r="K988"/>
      <c r="L988"/>
      <c r="M988"/>
      <c r="N988"/>
    </row>
    <row r="989" spans="1:14" x14ac:dyDescent="0.4">
      <c r="A989"/>
      <c r="B989"/>
      <c r="C989"/>
      <c r="D989"/>
      <c r="E989"/>
      <c r="F989"/>
      <c r="G989"/>
      <c r="H989"/>
      <c r="I989"/>
      <c r="J989"/>
      <c r="K989"/>
      <c r="L989"/>
      <c r="M989"/>
      <c r="N989"/>
    </row>
    <row r="990" spans="1:14" x14ac:dyDescent="0.4">
      <c r="A990"/>
      <c r="B990"/>
      <c r="C990"/>
      <c r="D990"/>
      <c r="E990"/>
      <c r="F990"/>
      <c r="G990"/>
      <c r="H990"/>
      <c r="I990"/>
      <c r="J990"/>
      <c r="K990"/>
      <c r="L990"/>
      <c r="M990"/>
      <c r="N990"/>
    </row>
    <row r="991" spans="1:14" x14ac:dyDescent="0.4">
      <c r="A991"/>
      <c r="B991"/>
      <c r="C991"/>
      <c r="D991"/>
      <c r="E991"/>
      <c r="F991"/>
      <c r="G991"/>
      <c r="H991"/>
      <c r="I991"/>
      <c r="J991"/>
      <c r="K991"/>
      <c r="L991"/>
      <c r="M991"/>
      <c r="N991"/>
    </row>
    <row r="992" spans="1:14" x14ac:dyDescent="0.4">
      <c r="A992"/>
      <c r="B992"/>
      <c r="C992"/>
      <c r="D992"/>
      <c r="E992"/>
      <c r="F992"/>
      <c r="G992"/>
      <c r="H992"/>
      <c r="I992"/>
      <c r="J992"/>
      <c r="K992"/>
      <c r="L992"/>
      <c r="M992"/>
      <c r="N992"/>
    </row>
    <row r="993" spans="1:14" x14ac:dyDescent="0.4">
      <c r="A993"/>
      <c r="B993"/>
      <c r="C993"/>
      <c r="D993"/>
      <c r="E993"/>
      <c r="F993"/>
      <c r="G993"/>
      <c r="H993"/>
      <c r="I993"/>
      <c r="J993"/>
      <c r="K993"/>
      <c r="L993"/>
      <c r="M993"/>
      <c r="N993"/>
    </row>
    <row r="994" spans="1:14" x14ac:dyDescent="0.4">
      <c r="A994"/>
      <c r="B994"/>
      <c r="C994"/>
      <c r="D994"/>
      <c r="E994"/>
      <c r="F994"/>
      <c r="G994"/>
      <c r="H994"/>
      <c r="I994"/>
      <c r="J994"/>
      <c r="K994"/>
      <c r="L994"/>
      <c r="M994"/>
      <c r="N994"/>
    </row>
    <row r="995" spans="1:14" x14ac:dyDescent="0.4">
      <c r="A995"/>
      <c r="B995"/>
      <c r="C995"/>
      <c r="D995"/>
      <c r="E995"/>
      <c r="F995"/>
      <c r="G995"/>
      <c r="H995"/>
      <c r="I995"/>
      <c r="J995"/>
      <c r="K995"/>
      <c r="L995"/>
      <c r="M995"/>
      <c r="N995"/>
    </row>
    <row r="996" spans="1:14" x14ac:dyDescent="0.4">
      <c r="A996"/>
      <c r="B996"/>
      <c r="C996"/>
      <c r="D996"/>
      <c r="E996"/>
      <c r="F996"/>
      <c r="G996"/>
      <c r="H996"/>
      <c r="I996"/>
      <c r="J996"/>
      <c r="K996"/>
      <c r="L996"/>
      <c r="M996"/>
      <c r="N996"/>
    </row>
    <row r="997" spans="1:14" x14ac:dyDescent="0.4">
      <c r="A997"/>
      <c r="B997"/>
      <c r="C997"/>
      <c r="D997"/>
      <c r="E997"/>
      <c r="F997"/>
      <c r="G997"/>
      <c r="H997"/>
      <c r="I997"/>
      <c r="J997"/>
      <c r="K997"/>
      <c r="L997"/>
      <c r="M997"/>
      <c r="N997"/>
    </row>
    <row r="998" spans="1:14" x14ac:dyDescent="0.4">
      <c r="A998"/>
      <c r="B998"/>
      <c r="C998"/>
      <c r="D998"/>
      <c r="E998"/>
      <c r="F998"/>
      <c r="G998"/>
      <c r="H998"/>
      <c r="I998"/>
      <c r="J998"/>
      <c r="K998"/>
      <c r="L998"/>
      <c r="M998"/>
      <c r="N998"/>
    </row>
    <row r="999" spans="1:14" x14ac:dyDescent="0.4">
      <c r="A999"/>
      <c r="B999"/>
      <c r="C999"/>
      <c r="D999"/>
      <c r="E999"/>
      <c r="F999"/>
      <c r="G999"/>
      <c r="H999"/>
      <c r="I999"/>
      <c r="J999"/>
      <c r="K999"/>
      <c r="L999"/>
      <c r="M999"/>
      <c r="N999"/>
    </row>
    <row r="1000" spans="1:14" x14ac:dyDescent="0.4">
      <c r="A1000"/>
      <c r="B1000"/>
      <c r="C1000"/>
      <c r="D1000"/>
      <c r="E1000"/>
      <c r="F1000"/>
      <c r="G1000"/>
      <c r="H1000"/>
      <c r="I1000"/>
      <c r="J1000"/>
      <c r="K1000"/>
      <c r="L1000"/>
      <c r="M1000"/>
      <c r="N1000"/>
    </row>
    <row r="1001" spans="1:14" x14ac:dyDescent="0.4">
      <c r="A1001"/>
      <c r="B1001"/>
      <c r="C1001"/>
      <c r="D1001"/>
      <c r="E1001"/>
      <c r="F1001"/>
      <c r="G1001"/>
      <c r="H1001"/>
      <c r="I1001"/>
      <c r="J1001"/>
      <c r="K1001"/>
      <c r="L1001"/>
      <c r="M1001"/>
      <c r="N1001"/>
    </row>
    <row r="1002" spans="1:14" x14ac:dyDescent="0.4">
      <c r="A1002"/>
      <c r="B1002"/>
      <c r="C1002"/>
      <c r="D1002"/>
      <c r="E1002"/>
      <c r="F1002"/>
      <c r="G1002"/>
      <c r="H1002"/>
      <c r="I1002"/>
      <c r="J1002"/>
      <c r="K1002"/>
      <c r="L1002"/>
      <c r="M1002"/>
      <c r="N1002"/>
    </row>
    <row r="1003" spans="1:14" x14ac:dyDescent="0.4">
      <c r="A1003"/>
      <c r="B1003"/>
      <c r="C1003"/>
      <c r="D1003"/>
      <c r="E1003"/>
      <c r="F1003"/>
      <c r="G1003"/>
      <c r="H1003"/>
      <c r="I1003"/>
      <c r="J1003"/>
      <c r="K1003"/>
      <c r="L1003"/>
      <c r="M1003"/>
      <c r="N1003"/>
    </row>
    <row r="1004" spans="1:14" x14ac:dyDescent="0.4">
      <c r="A1004"/>
      <c r="B1004"/>
      <c r="C1004"/>
      <c r="D1004"/>
      <c r="E1004"/>
      <c r="F1004"/>
      <c r="G1004"/>
      <c r="H1004"/>
      <c r="I1004"/>
      <c r="J1004"/>
      <c r="K1004"/>
      <c r="L1004"/>
      <c r="M1004"/>
      <c r="N1004"/>
    </row>
    <row r="1005" spans="1:14" x14ac:dyDescent="0.4">
      <c r="A1005"/>
      <c r="B1005"/>
      <c r="C1005"/>
      <c r="D1005"/>
      <c r="E1005"/>
      <c r="F1005"/>
      <c r="G1005"/>
      <c r="H1005"/>
      <c r="I1005"/>
      <c r="J1005"/>
      <c r="K1005"/>
      <c r="L1005"/>
      <c r="M1005"/>
      <c r="N1005"/>
    </row>
    <row r="1006" spans="1:14" x14ac:dyDescent="0.4">
      <c r="A1006"/>
      <c r="B1006"/>
      <c r="C1006"/>
      <c r="D1006"/>
      <c r="E1006"/>
      <c r="F1006"/>
      <c r="G1006"/>
      <c r="H1006"/>
      <c r="I1006"/>
      <c r="J1006"/>
      <c r="K1006"/>
      <c r="L1006"/>
      <c r="M1006"/>
      <c r="N1006"/>
    </row>
    <row r="1007" spans="1:14" x14ac:dyDescent="0.4">
      <c r="A1007"/>
      <c r="B1007"/>
      <c r="C1007"/>
      <c r="D1007"/>
      <c r="E1007"/>
      <c r="F1007"/>
      <c r="G1007"/>
      <c r="H1007"/>
      <c r="I1007"/>
      <c r="J1007"/>
      <c r="K1007"/>
      <c r="L1007"/>
      <c r="M1007"/>
      <c r="N1007"/>
    </row>
    <row r="1008" spans="1:14" x14ac:dyDescent="0.4">
      <c r="A1008"/>
      <c r="B1008"/>
      <c r="C1008"/>
      <c r="D1008"/>
      <c r="E1008"/>
      <c r="F1008"/>
      <c r="G1008"/>
      <c r="H1008"/>
      <c r="I1008"/>
      <c r="J1008"/>
      <c r="K1008"/>
      <c r="L1008"/>
      <c r="M1008"/>
      <c r="N1008"/>
    </row>
    <row r="1009" spans="1:14" x14ac:dyDescent="0.4">
      <c r="A1009"/>
      <c r="B1009"/>
      <c r="C1009"/>
      <c r="D1009"/>
      <c r="E1009"/>
      <c r="F1009"/>
      <c r="G1009"/>
      <c r="H1009"/>
      <c r="I1009"/>
      <c r="J1009"/>
      <c r="K1009"/>
      <c r="L1009"/>
      <c r="M1009"/>
      <c r="N1009"/>
    </row>
    <row r="1010" spans="1:14" x14ac:dyDescent="0.4">
      <c r="A1010"/>
      <c r="B1010"/>
      <c r="C1010"/>
      <c r="D1010"/>
      <c r="E1010"/>
      <c r="F1010"/>
      <c r="G1010"/>
      <c r="H1010"/>
      <c r="I1010"/>
      <c r="J1010"/>
      <c r="K1010"/>
      <c r="L1010"/>
      <c r="M1010"/>
      <c r="N1010"/>
    </row>
    <row r="1011" spans="1:14" x14ac:dyDescent="0.4">
      <c r="A1011"/>
      <c r="B1011"/>
      <c r="C1011"/>
      <c r="D1011"/>
      <c r="E1011"/>
      <c r="F1011"/>
      <c r="G1011"/>
      <c r="H1011"/>
      <c r="I1011"/>
      <c r="J1011"/>
      <c r="K1011"/>
      <c r="L1011"/>
      <c r="M1011"/>
      <c r="N1011"/>
    </row>
  </sheetData>
  <mergeCells count="72">
    <mergeCell ref="A45:O45"/>
    <mergeCell ref="A29:O29"/>
    <mergeCell ref="A307:O318"/>
    <mergeCell ref="A306:O306"/>
    <mergeCell ref="A265:O265"/>
    <mergeCell ref="A263:O263"/>
    <mergeCell ref="C276:O276"/>
    <mergeCell ref="C266:O266"/>
    <mergeCell ref="A240:O240"/>
    <mergeCell ref="A247:O247"/>
    <mergeCell ref="C248:O248"/>
    <mergeCell ref="A264:O264"/>
    <mergeCell ref="A287:O287"/>
    <mergeCell ref="A275:O275"/>
    <mergeCell ref="A298:O298"/>
    <mergeCell ref="A38:O38"/>
    <mergeCell ref="A6:O6"/>
    <mergeCell ref="A7:O7"/>
    <mergeCell ref="A8:O8"/>
    <mergeCell ref="A74:O74"/>
    <mergeCell ref="G9:I9"/>
    <mergeCell ref="C14:G14"/>
    <mergeCell ref="A11:N12"/>
    <mergeCell ref="A13:O13"/>
    <mergeCell ref="C15:G15"/>
    <mergeCell ref="A52:O52"/>
    <mergeCell ref="A17:O17"/>
    <mergeCell ref="C16:G16"/>
    <mergeCell ref="A63:O63"/>
    <mergeCell ref="A64:O64"/>
    <mergeCell ref="C65:O65"/>
    <mergeCell ref="A23:O23"/>
    <mergeCell ref="A1:A4"/>
    <mergeCell ref="C288:O288"/>
    <mergeCell ref="A227:O227"/>
    <mergeCell ref="C228:O228"/>
    <mergeCell ref="C75:O75"/>
    <mergeCell ref="C149:O149"/>
    <mergeCell ref="C97:O97"/>
    <mergeCell ref="A122:O122"/>
    <mergeCell ref="A113:O113"/>
    <mergeCell ref="A86:O86"/>
    <mergeCell ref="A96:O96"/>
    <mergeCell ref="A148:O148"/>
    <mergeCell ref="C87:O87"/>
    <mergeCell ref="C123:O123"/>
    <mergeCell ref="A18:O18"/>
    <mergeCell ref="A5:O5"/>
    <mergeCell ref="A256:O256"/>
    <mergeCell ref="C299:O299"/>
    <mergeCell ref="A173:O173"/>
    <mergeCell ref="A185:O185"/>
    <mergeCell ref="A186:O187"/>
    <mergeCell ref="A188:O190"/>
    <mergeCell ref="C241:O241"/>
    <mergeCell ref="A214:O214"/>
    <mergeCell ref="C215:O215"/>
    <mergeCell ref="C199:O199"/>
    <mergeCell ref="C257:O257"/>
    <mergeCell ref="A209:O209"/>
    <mergeCell ref="A210:O213"/>
    <mergeCell ref="B114:O114"/>
    <mergeCell ref="A141:O141"/>
    <mergeCell ref="A142:O143"/>
    <mergeCell ref="A144:O146"/>
    <mergeCell ref="A208:O208"/>
    <mergeCell ref="B170:N171"/>
    <mergeCell ref="C157:O157"/>
    <mergeCell ref="A156:O156"/>
    <mergeCell ref="A191:O191"/>
    <mergeCell ref="C192:O192"/>
    <mergeCell ref="A198:O198"/>
  </mergeCells>
  <phoneticPr fontId="3" type="noConversion"/>
  <printOptions horizontalCentered="1"/>
  <pageMargins left="0.39370078740157483" right="0.39370078740157483" top="0.66" bottom="0.7" header="0.28999999999999998" footer="0.51181102362204722"/>
  <pageSetup paperSize="9" scale="85" orientation="landscape" r:id="rId1"/>
  <headerFooter scaleWithDoc="0"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7F475B287D288458A8FEFB11C99A91B" ma:contentTypeVersion="14" ma:contentTypeDescription="Crie um novo documento." ma:contentTypeScope="" ma:versionID="3293640acfa50f546f6d1d6b9b4c278f">
  <xsd:schema xmlns:xsd="http://www.w3.org/2001/XMLSchema" xmlns:xs="http://www.w3.org/2001/XMLSchema" xmlns:p="http://schemas.microsoft.com/office/2006/metadata/properties" xmlns:ns2="0abbd66f-4ba1-462d-b415-2c3ed024471e" xmlns:ns3="7e687103-a836-41ec-b0fd-ca9d1ef39e9b" targetNamespace="http://schemas.microsoft.com/office/2006/metadata/properties" ma:root="true" ma:fieldsID="0e1770a8aa7ec68a7f7aa0ee62cd4f90" ns2:_="" ns3:_="">
    <xsd:import namespace="0abbd66f-4ba1-462d-b415-2c3ed024471e"/>
    <xsd:import namespace="7e687103-a836-41ec-b0fd-ca9d1ef39e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bd66f-4ba1-462d-b415-2c3ed02447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85f341f6-6b2b-404e-8427-1fc1725871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687103-a836-41ec-b0fd-ca9d1ef39e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de85d2e-e421-44af-b86b-c1743ab06099}" ma:internalName="TaxCatchAll" ma:showField="CatchAllData" ma:web="7e687103-a836-41ec-b0fd-ca9d1ef39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bbd66f-4ba1-462d-b415-2c3ed024471e">
      <Terms xmlns="http://schemas.microsoft.com/office/infopath/2007/PartnerControls"/>
    </lcf76f155ced4ddcb4097134ff3c332f>
    <TaxCatchAll xmlns="7e687103-a836-41ec-b0fd-ca9d1ef39e9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31C7BB-BBD5-43F0-9438-755CF4CBE8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bd66f-4ba1-462d-b415-2c3ed024471e"/>
    <ds:schemaRef ds:uri="7e687103-a836-41ec-b0fd-ca9d1ef39e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33B7DF-429F-4473-A67C-0F8EA8756084}">
  <ds:schemaRefs>
    <ds:schemaRef ds:uri="http://schemas.openxmlformats.org/package/2006/metadata/core-properties"/>
    <ds:schemaRef ds:uri="http://schemas.microsoft.com/office/2006/documentManagement/types"/>
    <ds:schemaRef ds:uri="http://purl.org/dc/terms/"/>
    <ds:schemaRef ds:uri="http://purl.org/dc/elements/1.1/"/>
    <ds:schemaRef ds:uri="http://schemas.microsoft.com/office/2006/metadata/properties"/>
    <ds:schemaRef ds:uri="7e687103-a836-41ec-b0fd-ca9d1ef39e9b"/>
    <ds:schemaRef ds:uri="http://schemas.microsoft.com/office/infopath/2007/PartnerControls"/>
    <ds:schemaRef ds:uri="0abbd66f-4ba1-462d-b415-2c3ed024471e"/>
    <ds:schemaRef ds:uri="http://www.w3.org/XML/1998/namespace"/>
    <ds:schemaRef ds:uri="http://purl.org/dc/dcmitype/"/>
  </ds:schemaRefs>
</ds:datastoreItem>
</file>

<file path=customXml/itemProps3.xml><?xml version="1.0" encoding="utf-8"?>
<ds:datastoreItem xmlns:ds="http://schemas.openxmlformats.org/officeDocument/2006/customXml" ds:itemID="{9BEBFC8C-ADF2-4FF9-A9BC-57A2D75500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Modelo 2025</vt:lpstr>
      <vt:lpstr>'Modelo 2025'!Area_de_impressao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ELIZA SANTOS LOPES</dc:creator>
  <cp:keywords/>
  <dc:description/>
  <cp:lastModifiedBy>Hima</cp:lastModifiedBy>
  <cp:revision/>
  <dcterms:created xsi:type="dcterms:W3CDTF">2010-01-12T17:30:48Z</dcterms:created>
  <dcterms:modified xsi:type="dcterms:W3CDTF">2025-07-02T13:31:39Z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0x01010057F475B287D288458A8FEFB11C99A91B</vt:lpwstr>
  </property>
  <property fmtid="{D5CDD505-2E9C-101B-9397-08002B2CF9AE}" pid="3" name="MediaServiceImageTags">
    <vt:lpwstr/>
  </property>
</Properties>
</file>